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24226"/>
  <mc:AlternateContent xmlns:mc="http://schemas.openxmlformats.org/markup-compatibility/2006">
    <mc:Choice Requires="x15">
      <x15ac:absPath xmlns:x15ac="http://schemas.microsoft.com/office/spreadsheetml/2010/11/ac" url="D:\ThucTran\ThuLoc\"/>
    </mc:Choice>
  </mc:AlternateContent>
  <xr:revisionPtr revIDLastSave="0" documentId="13_ncr:1_{207D91E3-1697-4422-9C14-BD7F444F3DF9}" xr6:coauthVersionLast="45" xr6:coauthVersionMax="45" xr10:uidLastSave="{00000000-0000-0000-0000-000000000000}"/>
  <bookViews>
    <workbookView xWindow="-108" yWindow="-108" windowWidth="23256" windowHeight="12720" activeTab="4" xr2:uid="{00000000-000D-0000-FFFF-FFFF00000000}"/>
  </bookViews>
  <sheets>
    <sheet name="Data" sheetId="2" r:id="rId1"/>
    <sheet name="Merge" sheetId="3" r:id="rId2"/>
    <sheet name="DS_CongNhan" sheetId="7" r:id="rId3"/>
    <sheet name="NhanSu" sheetId="8" r:id="rId4"/>
    <sheet name="KhaoSatHienTruong" sheetId="10" r:id="rId5"/>
    <sheet name="Merge-PATC" sheetId="11" r:id="rId6"/>
  </sheets>
  <definedNames>
    <definedName name="_xlnm._FilterDatabase" localSheetId="2" hidden="1">DS_CongNhan!$C$1:$L$26</definedName>
    <definedName name="_xlnm._FilterDatabase" localSheetId="4" hidden="1">KhaoSatHienTruong!$A$1:$Y$110</definedName>
    <definedName name="_xlnm._FilterDatabase" localSheetId="3" hidden="1">NhanSu!$C$1:$Q$55</definedName>
    <definedName name="data">Data!$A:$Z</definedName>
    <definedName name="HoaDon">#REF!</definedName>
    <definedName name="KSHT">KhaoSatHienTruong!$A:$Z</definedName>
    <definedName name="NhanSu">NhanSu!$D:$I</definedName>
    <definedName name="tab">REPT(" ",10)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56" i="10" l="1"/>
  <c r="L4" i="10" l="1"/>
  <c r="I4" i="10"/>
  <c r="K4" i="10" s="1"/>
  <c r="G57" i="10"/>
  <c r="G58" i="10"/>
  <c r="G59" i="10"/>
  <c r="G60" i="10"/>
  <c r="G61" i="10"/>
  <c r="G62" i="10"/>
  <c r="G63" i="10"/>
  <c r="G64" i="10"/>
  <c r="G65" i="10"/>
  <c r="G66" i="10"/>
  <c r="I52" i="10"/>
  <c r="I53" i="10"/>
  <c r="I54" i="10"/>
  <c r="I55" i="10"/>
  <c r="I56" i="10"/>
  <c r="I57" i="10"/>
  <c r="K57" i="10" s="1"/>
  <c r="I58" i="10"/>
  <c r="L58" i="10" s="1"/>
  <c r="I59" i="10"/>
  <c r="L59" i="10" s="1"/>
  <c r="I60" i="10"/>
  <c r="L60" i="10" s="1"/>
  <c r="I61" i="10"/>
  <c r="L61" i="10" s="1"/>
  <c r="I62" i="10"/>
  <c r="L62" i="10" s="1"/>
  <c r="I63" i="10"/>
  <c r="L63" i="10" s="1"/>
  <c r="I64" i="10"/>
  <c r="L64" i="10" s="1"/>
  <c r="I65" i="10"/>
  <c r="K65" i="10" s="1"/>
  <c r="I66" i="10"/>
  <c r="L66" i="10" s="1"/>
  <c r="I67" i="10"/>
  <c r="K67" i="10" s="1"/>
  <c r="I68" i="10"/>
  <c r="K68" i="10" s="1"/>
  <c r="I69" i="10"/>
  <c r="K69" i="10" s="1"/>
  <c r="I70" i="10"/>
  <c r="K70" i="10" s="1"/>
  <c r="I71" i="10"/>
  <c r="K71" i="10" s="1"/>
  <c r="I72" i="10"/>
  <c r="L72" i="10" s="1"/>
  <c r="I73" i="10"/>
  <c r="K73" i="10" s="1"/>
  <c r="I74" i="10"/>
  <c r="K74" i="10" s="1"/>
  <c r="I75" i="10"/>
  <c r="K75" i="10" s="1"/>
  <c r="I76" i="10"/>
  <c r="K76" i="10" s="1"/>
  <c r="I77" i="10"/>
  <c r="K77" i="10" s="1"/>
  <c r="I78" i="10"/>
  <c r="K78" i="10" s="1"/>
  <c r="I79" i="10"/>
  <c r="K79" i="10" s="1"/>
  <c r="I80" i="10"/>
  <c r="L80" i="10" s="1"/>
  <c r="I81" i="10"/>
  <c r="K81" i="10" s="1"/>
  <c r="I82" i="10"/>
  <c r="K82" i="10" s="1"/>
  <c r="I83" i="10"/>
  <c r="K83" i="10" s="1"/>
  <c r="I84" i="10"/>
  <c r="K84" i="10" s="1"/>
  <c r="I85" i="10"/>
  <c r="K85" i="10" s="1"/>
  <c r="I86" i="10"/>
  <c r="K86" i="10" s="1"/>
  <c r="I87" i="10"/>
  <c r="K87" i="10" s="1"/>
  <c r="I88" i="10"/>
  <c r="L88" i="10" s="1"/>
  <c r="I89" i="10"/>
  <c r="K89" i="10" s="1"/>
  <c r="I90" i="10"/>
  <c r="K90" i="10" s="1"/>
  <c r="I91" i="10"/>
  <c r="K91" i="10" s="1"/>
  <c r="I92" i="10"/>
  <c r="K92" i="10" s="1"/>
  <c r="I93" i="10"/>
  <c r="K93" i="10" s="1"/>
  <c r="I94" i="10"/>
  <c r="K94" i="10" s="1"/>
  <c r="I95" i="10"/>
  <c r="K95" i="10" s="1"/>
  <c r="I96" i="10"/>
  <c r="L96" i="10" s="1"/>
  <c r="I97" i="10"/>
  <c r="K97" i="10" s="1"/>
  <c r="I98" i="10"/>
  <c r="K98" i="10" s="1"/>
  <c r="I99" i="10"/>
  <c r="K99" i="10" s="1"/>
  <c r="I100" i="10"/>
  <c r="K100" i="10" s="1"/>
  <c r="I101" i="10"/>
  <c r="K101" i="10" s="1"/>
  <c r="I102" i="10"/>
  <c r="K102" i="10" s="1"/>
  <c r="I103" i="10"/>
  <c r="K103" i="10" s="1"/>
  <c r="I104" i="10"/>
  <c r="L104" i="10" s="1"/>
  <c r="I105" i="10"/>
  <c r="K105" i="10" s="1"/>
  <c r="I106" i="10"/>
  <c r="K106" i="10" s="1"/>
  <c r="I107" i="10"/>
  <c r="K107" i="10" s="1"/>
  <c r="I108" i="10"/>
  <c r="K108" i="10" s="1"/>
  <c r="I109" i="10"/>
  <c r="K109" i="10" s="1"/>
  <c r="I110" i="10"/>
  <c r="K110" i="10" s="1"/>
  <c r="I51" i="10"/>
  <c r="G51" i="10"/>
  <c r="X51" i="10" s="1"/>
  <c r="X52" i="10"/>
  <c r="X50" i="10"/>
  <c r="O50" i="10"/>
  <c r="O49" i="10"/>
  <c r="P53" i="10"/>
  <c r="A53" i="10"/>
  <c r="P52" i="10"/>
  <c r="A52" i="10"/>
  <c r="P51" i="10"/>
  <c r="A51" i="10"/>
  <c r="P50" i="10"/>
  <c r="W50" i="10" s="1"/>
  <c r="A50" i="10"/>
  <c r="X49" i="10"/>
  <c r="P49" i="10"/>
  <c r="W49" i="10" s="1"/>
  <c r="A49" i="10"/>
  <c r="X48" i="10"/>
  <c r="P48" i="10"/>
  <c r="W48" i="10" s="1"/>
  <c r="O48" i="10"/>
  <c r="A48" i="10"/>
  <c r="X47" i="10"/>
  <c r="P47" i="10"/>
  <c r="W47" i="10" s="1"/>
  <c r="O47" i="10"/>
  <c r="A47" i="10"/>
  <c r="O4" i="10" l="1"/>
  <c r="L65" i="10"/>
  <c r="L57" i="10"/>
  <c r="K104" i="10"/>
  <c r="K96" i="10"/>
  <c r="K88" i="10"/>
  <c r="K80" i="10"/>
  <c r="K72" i="10"/>
  <c r="K64" i="10"/>
  <c r="L103" i="10"/>
  <c r="L95" i="10"/>
  <c r="L87" i="10"/>
  <c r="L79" i="10"/>
  <c r="L71" i="10"/>
  <c r="K63" i="10"/>
  <c r="L110" i="10"/>
  <c r="L102" i="10"/>
  <c r="L94" i="10"/>
  <c r="L86" i="10"/>
  <c r="L78" i="10"/>
  <c r="L70" i="10"/>
  <c r="K62" i="10"/>
  <c r="L109" i="10"/>
  <c r="L101" i="10"/>
  <c r="L93" i="10"/>
  <c r="L85" i="10"/>
  <c r="L77" i="10"/>
  <c r="L69" i="10"/>
  <c r="K61" i="10"/>
  <c r="L108" i="10"/>
  <c r="L100" i="10"/>
  <c r="L92" i="10"/>
  <c r="L84" i="10"/>
  <c r="L76" i="10"/>
  <c r="L68" i="10"/>
  <c r="K60" i="10"/>
  <c r="L107" i="10"/>
  <c r="L99" i="10"/>
  <c r="L91" i="10"/>
  <c r="L83" i="10"/>
  <c r="L75" i="10"/>
  <c r="L67" i="10"/>
  <c r="K59" i="10"/>
  <c r="L106" i="10"/>
  <c r="L98" i="10"/>
  <c r="L90" i="10"/>
  <c r="L82" i="10"/>
  <c r="L74" i="10"/>
  <c r="K66" i="10"/>
  <c r="K58" i="10"/>
  <c r="L105" i="10"/>
  <c r="L97" i="10"/>
  <c r="L89" i="10"/>
  <c r="L81" i="10"/>
  <c r="L73" i="10"/>
  <c r="O52" i="10"/>
  <c r="O53" i="10"/>
  <c r="X53" i="10"/>
  <c r="W52" i="10"/>
  <c r="W53" i="10"/>
  <c r="W51" i="10"/>
  <c r="O51" i="10"/>
  <c r="O43" i="10"/>
  <c r="O44" i="10"/>
  <c r="O45" i="10"/>
  <c r="O46" i="10"/>
  <c r="O42" i="10"/>
  <c r="X46" i="10"/>
  <c r="P46" i="10"/>
  <c r="W46" i="10" s="1"/>
  <c r="A46" i="10"/>
  <c r="X45" i="10"/>
  <c r="P45" i="10"/>
  <c r="W45" i="10" s="1"/>
  <c r="A45" i="10"/>
  <c r="X44" i="10"/>
  <c r="P44" i="10"/>
  <c r="W44" i="10" s="1"/>
  <c r="A44" i="10"/>
  <c r="X43" i="10"/>
  <c r="P43" i="10"/>
  <c r="W43" i="10" s="1"/>
  <c r="A43" i="10"/>
  <c r="P42" i="10"/>
  <c r="W42" i="10" s="1"/>
  <c r="X42" i="10"/>
  <c r="G6" i="10" l="1"/>
  <c r="G7" i="10"/>
  <c r="G8" i="10"/>
  <c r="G9" i="10"/>
  <c r="G10" i="10"/>
  <c r="G11" i="10"/>
  <c r="G12" i="10"/>
  <c r="G13" i="10"/>
  <c r="G14" i="10"/>
  <c r="G15" i="10"/>
  <c r="G16" i="10"/>
  <c r="G5" i="10"/>
  <c r="F6" i="10"/>
  <c r="H6" i="10" s="1"/>
  <c r="L6" i="10" s="1"/>
  <c r="F7" i="10"/>
  <c r="H7" i="10" s="1"/>
  <c r="L7" i="10" s="1"/>
  <c r="F8" i="10"/>
  <c r="H8" i="10" s="1"/>
  <c r="L8" i="10" s="1"/>
  <c r="F9" i="10"/>
  <c r="H9" i="10" s="1"/>
  <c r="L9" i="10" s="1"/>
  <c r="F10" i="10"/>
  <c r="H10" i="10" s="1"/>
  <c r="L10" i="10" s="1"/>
  <c r="F11" i="10"/>
  <c r="H11" i="10" s="1"/>
  <c r="L11" i="10" s="1"/>
  <c r="F12" i="10"/>
  <c r="H12" i="10" s="1"/>
  <c r="L12" i="10" s="1"/>
  <c r="F13" i="10"/>
  <c r="H13" i="10" s="1"/>
  <c r="L13" i="10" s="1"/>
  <c r="F14" i="10"/>
  <c r="H14" i="10" s="1"/>
  <c r="L14" i="10" s="1"/>
  <c r="F15" i="10"/>
  <c r="H15" i="10" s="1"/>
  <c r="L15" i="10" s="1"/>
  <c r="F16" i="10"/>
  <c r="H16" i="10" s="1"/>
  <c r="L16" i="10" s="1"/>
  <c r="F5" i="10"/>
  <c r="H5" i="10" s="1"/>
  <c r="L5" i="10" s="1"/>
  <c r="I9" i="10" l="1"/>
  <c r="K9" i="10" s="1"/>
  <c r="O9" i="10" s="1"/>
  <c r="I16" i="10"/>
  <c r="K16" i="10" s="1"/>
  <c r="O16" i="10" s="1"/>
  <c r="I8" i="10"/>
  <c r="K8" i="10" s="1"/>
  <c r="O8" i="10" s="1"/>
  <c r="I15" i="10"/>
  <c r="K15" i="10" s="1"/>
  <c r="O15" i="10" s="1"/>
  <c r="I7" i="10"/>
  <c r="K7" i="10" s="1"/>
  <c r="O7" i="10" s="1"/>
  <c r="I6" i="10"/>
  <c r="K6" i="10" s="1"/>
  <c r="O6" i="10" s="1"/>
  <c r="I13" i="10"/>
  <c r="K13" i="10" s="1"/>
  <c r="O13" i="10" s="1"/>
  <c r="I14" i="10"/>
  <c r="K14" i="10" s="1"/>
  <c r="O14" i="10" s="1"/>
  <c r="I12" i="10"/>
  <c r="K12" i="10" s="1"/>
  <c r="O12" i="10" s="1"/>
  <c r="I11" i="10"/>
  <c r="K11" i="10" s="1"/>
  <c r="O11" i="10" s="1"/>
  <c r="I5" i="10"/>
  <c r="K5" i="10" s="1"/>
  <c r="O5" i="10" s="1"/>
  <c r="I10" i="10"/>
  <c r="K10" i="10" s="1"/>
  <c r="O10" i="10" s="1"/>
  <c r="P18" i="10"/>
  <c r="O18" i="10"/>
  <c r="P17" i="10"/>
  <c r="O17" i="10"/>
  <c r="X24" i="10" l="1"/>
  <c r="T24" i="10"/>
  <c r="P24" i="10"/>
  <c r="W24" i="10" s="1"/>
  <c r="N24" i="10"/>
  <c r="A24" i="10"/>
  <c r="O24" i="10" a="1"/>
  <c r="O24" i="10" l="1"/>
  <c r="U24" i="10" s="1"/>
  <c r="R41" i="10"/>
  <c r="T41" i="10" s="1"/>
  <c r="O41" i="10"/>
  <c r="A20" i="10"/>
  <c r="A41" i="10"/>
  <c r="A42"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X41" i="10"/>
  <c r="P41" i="10"/>
  <c r="W41" i="10" s="1"/>
  <c r="N41" i="10"/>
  <c r="V24" i="10" l="1"/>
  <c r="Q24" i="10"/>
  <c r="A24" i="11"/>
  <c r="A23" i="11"/>
  <c r="A22" i="11"/>
  <c r="X39" i="10"/>
  <c r="T39" i="10"/>
  <c r="P39" i="10"/>
  <c r="W39" i="10" s="1"/>
  <c r="N39" i="10"/>
  <c r="A39" i="10"/>
  <c r="O39" i="10" a="1"/>
  <c r="O40" i="10" a="1"/>
  <c r="O39" i="10" l="1"/>
  <c r="Q39" i="10" s="1"/>
  <c r="O40" i="10"/>
  <c r="Q41" i="10"/>
  <c r="V41" i="10"/>
  <c r="U41" i="10"/>
  <c r="A40" i="10"/>
  <c r="A19" i="10"/>
  <c r="A21" i="10"/>
  <c r="A22" i="10"/>
  <c r="A23" i="10"/>
  <c r="A25" i="10"/>
  <c r="A26" i="10"/>
  <c r="A27" i="10"/>
  <c r="A28" i="10"/>
  <c r="A29" i="10"/>
  <c r="A30" i="10"/>
  <c r="A31" i="10"/>
  <c r="A32" i="10"/>
  <c r="A33" i="10"/>
  <c r="A34" i="10"/>
  <c r="A35" i="10"/>
  <c r="A36" i="10"/>
  <c r="A37" i="10"/>
  <c r="A38" i="10"/>
  <c r="A5" i="11"/>
  <c r="A6" i="11"/>
  <c r="A7" i="11"/>
  <c r="A8" i="11"/>
  <c r="A9" i="11"/>
  <c r="A10" i="11"/>
  <c r="A11" i="11"/>
  <c r="A12" i="11"/>
  <c r="A13" i="11"/>
  <c r="A14" i="11"/>
  <c r="A15" i="11"/>
  <c r="A16" i="11"/>
  <c r="A17" i="11"/>
  <c r="A18" i="11"/>
  <c r="A3" i="11"/>
  <c r="A19" i="11"/>
  <c r="A20" i="11"/>
  <c r="A21" i="11"/>
  <c r="A4" i="11"/>
  <c r="O20" i="10" a="1"/>
  <c r="O28" i="10" a="1"/>
  <c r="O27" i="10" a="1"/>
  <c r="O29" i="10" a="1"/>
  <c r="O36" i="10" a="1"/>
  <c r="O25" i="10" a="1"/>
  <c r="O37" i="10" a="1"/>
  <c r="O33" i="10" a="1"/>
  <c r="O30" i="10" a="1"/>
  <c r="O34" i="10" a="1"/>
  <c r="O31" i="10" a="1"/>
  <c r="O21" i="10" a="1"/>
  <c r="O26" i="10" a="1"/>
  <c r="O32" i="10" a="1"/>
  <c r="O35" i="10" a="1"/>
  <c r="O19" i="10" a="1"/>
  <c r="O22" i="10" a="1"/>
  <c r="O23" i="10" a="1"/>
  <c r="O38" i="10" a="1"/>
  <c r="V39" i="10" l="1"/>
  <c r="U39" i="10"/>
  <c r="O33" i="10"/>
  <c r="O36" i="10"/>
  <c r="O29" i="10"/>
  <c r="O21" i="10"/>
  <c r="O30" i="10"/>
  <c r="O37" i="10"/>
  <c r="O27" i="10"/>
  <c r="O32" i="10"/>
  <c r="O26" i="10"/>
  <c r="O20" i="10"/>
  <c r="O35" i="10"/>
  <c r="O25" i="10"/>
  <c r="O19" i="10"/>
  <c r="O38" i="10"/>
  <c r="O34" i="10"/>
  <c r="O31" i="10"/>
  <c r="O28" i="10"/>
  <c r="O23" i="10"/>
  <c r="O22" i="10"/>
  <c r="B2" i="11"/>
  <c r="I2" i="10"/>
  <c r="E2" i="10"/>
  <c r="K2" i="10"/>
  <c r="L2" i="10"/>
  <c r="G2" i="10"/>
  <c r="D2" i="11" s="1"/>
  <c r="F2" i="10"/>
  <c r="C2" i="11" s="1"/>
  <c r="H2" i="10"/>
  <c r="M2" i="10"/>
  <c r="N2" i="10"/>
  <c r="O2" i="10"/>
  <c r="E2" i="11" s="1"/>
  <c r="P2" i="10"/>
  <c r="Q2" i="10"/>
  <c r="R2" i="10"/>
  <c r="S2" i="10"/>
  <c r="T2" i="10"/>
  <c r="U2" i="10"/>
  <c r="V2" i="10"/>
  <c r="W2" i="10"/>
  <c r="X2" i="10"/>
  <c r="A2" i="10"/>
  <c r="B9" i="11" s="1"/>
  <c r="C23" i="11" l="1"/>
  <c r="C22" i="11"/>
  <c r="C24" i="11"/>
  <c r="D7" i="11"/>
  <c r="D24" i="11"/>
  <c r="D23" i="11"/>
  <c r="D22" i="11"/>
  <c r="B10" i="11"/>
  <c r="B24" i="11"/>
  <c r="B23" i="11"/>
  <c r="B22" i="11"/>
  <c r="B4" i="11"/>
  <c r="E7" i="11"/>
  <c r="E22" i="11"/>
  <c r="E24" i="11"/>
  <c r="C4" i="11"/>
  <c r="E23" i="11"/>
  <c r="D6" i="11"/>
  <c r="D3" i="11"/>
  <c r="E6" i="11"/>
  <c r="D8" i="11"/>
  <c r="D9" i="11"/>
  <c r="D17" i="11"/>
  <c r="D20" i="11"/>
  <c r="E8" i="11"/>
  <c r="B14" i="11"/>
  <c r="E20" i="11"/>
  <c r="B13" i="11"/>
  <c r="E10" i="11"/>
  <c r="D12" i="11"/>
  <c r="E13" i="11"/>
  <c r="E16" i="11"/>
  <c r="D14" i="11"/>
  <c r="D11" i="11"/>
  <c r="B21" i="11"/>
  <c r="E3" i="11"/>
  <c r="B3" i="11"/>
  <c r="D10" i="11"/>
  <c r="B15" i="11"/>
  <c r="E11" i="11"/>
  <c r="E12" i="11"/>
  <c r="D15" i="11"/>
  <c r="B8" i="11"/>
  <c r="E17" i="11"/>
  <c r="E21" i="11"/>
  <c r="B11" i="11"/>
  <c r="B20" i="11"/>
  <c r="D19" i="11"/>
  <c r="D5" i="11"/>
  <c r="D16" i="11"/>
  <c r="E5" i="11"/>
  <c r="B5" i="11"/>
  <c r="E15" i="11"/>
  <c r="E19" i="11"/>
  <c r="D21" i="11"/>
  <c r="E18" i="11"/>
  <c r="B12" i="11"/>
  <c r="E14" i="11"/>
  <c r="D13" i="11"/>
  <c r="B19" i="11"/>
  <c r="D18" i="11"/>
  <c r="B16" i="11"/>
  <c r="B7" i="11"/>
  <c r="E9" i="11"/>
  <c r="B6" i="11"/>
  <c r="B18" i="11"/>
  <c r="B17" i="11"/>
  <c r="E4" i="11"/>
  <c r="D4" i="11"/>
  <c r="C9" i="11"/>
  <c r="C5" i="11"/>
  <c r="C7" i="11"/>
  <c r="C6" i="11"/>
  <c r="C8" i="11"/>
  <c r="C13" i="11"/>
  <c r="C10" i="11"/>
  <c r="C3" i="11"/>
  <c r="C12" i="11"/>
  <c r="C20" i="11"/>
  <c r="C15" i="11"/>
  <c r="C18" i="11"/>
  <c r="C17" i="11"/>
  <c r="C16" i="11"/>
  <c r="C14" i="11"/>
  <c r="C11" i="11"/>
  <c r="C21" i="11"/>
  <c r="C19" i="11"/>
  <c r="N20" i="10"/>
  <c r="N19" i="10"/>
  <c r="N21" i="10"/>
  <c r="N22" i="10"/>
  <c r="N23" i="10"/>
  <c r="N25" i="10"/>
  <c r="N26" i="10"/>
  <c r="N27" i="10"/>
  <c r="N28" i="10"/>
  <c r="N29" i="10"/>
  <c r="N30" i="10"/>
  <c r="N31" i="10"/>
  <c r="N32" i="10"/>
  <c r="N33" i="10"/>
  <c r="N34" i="10"/>
  <c r="N35" i="10"/>
  <c r="N36" i="10"/>
  <c r="N37" i="10"/>
  <c r="N38" i="10"/>
  <c r="E3" i="2" l="1"/>
  <c r="A3" i="2"/>
  <c r="Q3" i="2" a="1"/>
  <c r="P3" i="2" a="1"/>
  <c r="P3" i="2" l="1"/>
  <c r="Q3" i="2"/>
  <c r="A7" i="2"/>
  <c r="A8" i="2"/>
  <c r="A9" i="2"/>
  <c r="J3" i="8" l="1" a="1"/>
  <c r="J3" i="8" s="1"/>
  <c r="X37" i="10" l="1"/>
  <c r="V37" i="10"/>
  <c r="U37" i="10"/>
  <c r="T37" i="10"/>
  <c r="Q37" i="10"/>
  <c r="P37" i="10"/>
  <c r="W37" i="10" s="1"/>
  <c r="X36" i="10"/>
  <c r="V36" i="10"/>
  <c r="U36" i="10"/>
  <c r="T36" i="10"/>
  <c r="Q36" i="10"/>
  <c r="P36" i="10"/>
  <c r="W36" i="10" s="1"/>
  <c r="X35" i="10"/>
  <c r="V35" i="10"/>
  <c r="U35" i="10"/>
  <c r="T35" i="10"/>
  <c r="Q35" i="10"/>
  <c r="P35" i="10"/>
  <c r="W35" i="10" s="1"/>
  <c r="X38" i="10"/>
  <c r="V38" i="10"/>
  <c r="U38" i="10"/>
  <c r="T38" i="10"/>
  <c r="Q38" i="10"/>
  <c r="P38" i="10"/>
  <c r="W38" i="10" s="1"/>
  <c r="X26" i="10"/>
  <c r="V26" i="10"/>
  <c r="U26" i="10"/>
  <c r="T26" i="10"/>
  <c r="Q26" i="10"/>
  <c r="P26" i="10"/>
  <c r="W26" i="10" s="1"/>
  <c r="V19" i="10"/>
  <c r="V21" i="10"/>
  <c r="V22" i="10"/>
  <c r="V23" i="10"/>
  <c r="V25" i="10"/>
  <c r="V27" i="10"/>
  <c r="V28" i="10"/>
  <c r="V29" i="10"/>
  <c r="V30" i="10"/>
  <c r="V31" i="10"/>
  <c r="V32" i="10"/>
  <c r="V33" i="10"/>
  <c r="V34" i="10"/>
  <c r="V20" i="10"/>
  <c r="Q19" i="10"/>
  <c r="Q21" i="10"/>
  <c r="Q22" i="10"/>
  <c r="Q23" i="10"/>
  <c r="Q25" i="10"/>
  <c r="Q27" i="10"/>
  <c r="Q28" i="10"/>
  <c r="Q29" i="10"/>
  <c r="Q30" i="10"/>
  <c r="Q31" i="10"/>
  <c r="Q32" i="10"/>
  <c r="Q33" i="10"/>
  <c r="Q34" i="10"/>
  <c r="Q20" i="10"/>
  <c r="X23" i="10"/>
  <c r="U23" i="10"/>
  <c r="P23" i="10"/>
  <c r="W23" i="10" s="1"/>
  <c r="P25" i="10"/>
  <c r="W25" i="10" s="1"/>
  <c r="P27" i="10"/>
  <c r="W27" i="10" s="1"/>
  <c r="P28" i="10"/>
  <c r="W28" i="10" s="1"/>
  <c r="P29" i="10"/>
  <c r="W29" i="10" s="1"/>
  <c r="P30" i="10"/>
  <c r="W30" i="10" s="1"/>
  <c r="P31" i="10"/>
  <c r="W31" i="10" s="1"/>
  <c r="P32" i="10"/>
  <c r="W32" i="10" s="1"/>
  <c r="P33" i="10"/>
  <c r="W33" i="10" s="1"/>
  <c r="P34" i="10"/>
  <c r="W34" i="10" s="1"/>
  <c r="P19" i="10"/>
  <c r="W19" i="10" s="1"/>
  <c r="P21" i="10"/>
  <c r="W21" i="10" s="1"/>
  <c r="P22" i="10"/>
  <c r="W22" i="10" s="1"/>
  <c r="P20" i="10"/>
  <c r="W20" i="10" s="1"/>
  <c r="X19" i="10"/>
  <c r="X21" i="10"/>
  <c r="X22" i="10"/>
  <c r="X25" i="10"/>
  <c r="X27" i="10"/>
  <c r="X28" i="10"/>
  <c r="X29" i="10"/>
  <c r="X30" i="10"/>
  <c r="X31" i="10"/>
  <c r="X32" i="10"/>
  <c r="X33" i="10"/>
  <c r="X34" i="10"/>
  <c r="X20" i="10"/>
  <c r="U25" i="10"/>
  <c r="U27" i="10"/>
  <c r="U28" i="10"/>
  <c r="U29" i="10"/>
  <c r="U30" i="10"/>
  <c r="U31" i="10"/>
  <c r="U32" i="10"/>
  <c r="U33" i="10"/>
  <c r="U34" i="10"/>
  <c r="U19" i="10"/>
  <c r="U21" i="10"/>
  <c r="U22" i="10"/>
  <c r="U20" i="10"/>
  <c r="E6" i="2"/>
  <c r="E7" i="2"/>
  <c r="E8" i="2"/>
  <c r="E9" i="2"/>
  <c r="T34" i="10"/>
  <c r="T33" i="10"/>
  <c r="T32" i="10"/>
  <c r="T31" i="10"/>
  <c r="T30" i="10"/>
  <c r="T29" i="10"/>
  <c r="T28" i="10"/>
  <c r="T27" i="10"/>
  <c r="T25" i="10"/>
  <c r="T22" i="10" l="1"/>
  <c r="T23" i="10"/>
  <c r="T20" i="10"/>
  <c r="T19" i="10"/>
  <c r="T21" i="10"/>
  <c r="J35" i="8" a="1"/>
  <c r="J35" i="8" s="1"/>
  <c r="J11" i="8" a="1"/>
  <c r="J11" i="8" s="1"/>
  <c r="J13" i="8" a="1"/>
  <c r="J13" i="8" s="1"/>
  <c r="J6" i="8" a="1"/>
  <c r="J6" i="8" s="1"/>
  <c r="J15" i="8" a="1"/>
  <c r="J15" i="8" s="1"/>
  <c r="J5" i="8" a="1"/>
  <c r="J5" i="8" s="1"/>
  <c r="J9" i="8" a="1"/>
  <c r="J9" i="8" s="1"/>
  <c r="J12" i="8" a="1"/>
  <c r="J12" i="8" s="1"/>
  <c r="J19" i="8" a="1"/>
  <c r="J19" i="8" s="1"/>
  <c r="J10" i="8" a="1"/>
  <c r="J10" i="8" s="1"/>
  <c r="J21" i="8" a="1"/>
  <c r="J21" i="8" s="1"/>
  <c r="J4" i="8" a="1"/>
  <c r="J4" i="8" s="1"/>
  <c r="J22" i="8" a="1"/>
  <c r="J22" i="8" s="1"/>
  <c r="J8" i="8" a="1"/>
  <c r="J8" i="8" s="1"/>
  <c r="J23" i="8" a="1"/>
  <c r="J23" i="8" s="1"/>
  <c r="J14" i="8" a="1"/>
  <c r="J14" i="8" s="1"/>
  <c r="J17" i="8" a="1"/>
  <c r="J17" i="8" s="1"/>
  <c r="J18" i="8" a="1"/>
  <c r="J18" i="8" s="1"/>
  <c r="J7" i="8" a="1"/>
  <c r="J7" i="8" s="1"/>
  <c r="J20" i="8" a="1"/>
  <c r="J20" i="8" s="1"/>
  <c r="J16" i="8" a="1"/>
  <c r="J16" i="8" s="1"/>
  <c r="J24" i="8" a="1"/>
  <c r="J24" i="8" s="1"/>
  <c r="J54" i="8" a="1"/>
  <c r="J54" i="8" s="1"/>
  <c r="J25" i="8" a="1"/>
  <c r="J25" i="8" s="1"/>
  <c r="J26" i="8" a="1"/>
  <c r="J26" i="8" s="1"/>
  <c r="J27" i="8" a="1"/>
  <c r="J27" i="8" s="1"/>
  <c r="J28" i="8" a="1"/>
  <c r="J28" i="8" s="1"/>
  <c r="J30" i="8" a="1"/>
  <c r="J30" i="8" s="1"/>
  <c r="J31" i="8" a="1"/>
  <c r="J31" i="8" s="1"/>
  <c r="J32" i="8" a="1"/>
  <c r="J32" i="8" s="1"/>
  <c r="J33" i="8" a="1"/>
  <c r="J33" i="8" s="1"/>
  <c r="J34" i="8" a="1"/>
  <c r="J34" i="8" s="1"/>
  <c r="J36" i="8" a="1"/>
  <c r="J36" i="8" s="1"/>
  <c r="J37" i="8" a="1"/>
  <c r="J37" i="8" s="1"/>
  <c r="J38" i="8" a="1"/>
  <c r="J38" i="8" s="1"/>
  <c r="J39" i="8" a="1"/>
  <c r="J39" i="8" s="1"/>
  <c r="J40" i="8" a="1"/>
  <c r="J40" i="8" s="1"/>
  <c r="J41" i="8" a="1"/>
  <c r="J41" i="8" s="1"/>
  <c r="J42" i="8" a="1"/>
  <c r="J42" i="8" s="1"/>
  <c r="J43" i="8" a="1"/>
  <c r="J43" i="8" s="1"/>
  <c r="J44" i="8" a="1"/>
  <c r="J44" i="8" s="1"/>
  <c r="J45" i="8" a="1"/>
  <c r="J45" i="8" s="1"/>
  <c r="J46" i="8" a="1"/>
  <c r="J46" i="8" s="1"/>
  <c r="J47" i="8" a="1"/>
  <c r="J47" i="8" s="1"/>
  <c r="J48" i="8" a="1"/>
  <c r="J48" i="8" s="1"/>
  <c r="J49" i="8" a="1"/>
  <c r="J49" i="8" s="1"/>
  <c r="J50" i="8" a="1"/>
  <c r="J50" i="8" s="1"/>
  <c r="J51" i="8" a="1"/>
  <c r="J51" i="8" s="1"/>
  <c r="J2" i="8" a="1"/>
  <c r="J2" i="8" s="1"/>
  <c r="J52" i="8" a="1"/>
  <c r="J52" i="8" s="1"/>
  <c r="J53" i="8" a="1"/>
  <c r="J53" i="8" s="1"/>
  <c r="J29" i="8" a="1"/>
  <c r="J29" i="8" s="1"/>
  <c r="J55" i="8" a="1"/>
  <c r="J55" i="8" s="1"/>
  <c r="M27" i="7" a="1"/>
  <c r="M27" i="7" s="1"/>
  <c r="C27" i="7"/>
  <c r="M3" i="7" a="1"/>
  <c r="M3" i="7" s="1"/>
  <c r="M4" i="7" a="1"/>
  <c r="M4" i="7" s="1"/>
  <c r="M5" i="7" a="1"/>
  <c r="M5" i="7"/>
  <c r="M6" i="7" a="1"/>
  <c r="M6" i="7" s="1"/>
  <c r="M7" i="7" a="1"/>
  <c r="M7" i="7" s="1"/>
  <c r="M8" i="7" a="1"/>
  <c r="M8" i="7" s="1"/>
  <c r="M9" i="7" a="1"/>
  <c r="M9" i="7" s="1"/>
  <c r="M10" i="7" a="1"/>
  <c r="M10" i="7" s="1"/>
  <c r="M11" i="7" a="1"/>
  <c r="M11" i="7" s="1"/>
  <c r="M12" i="7" a="1"/>
  <c r="M12" i="7" s="1"/>
  <c r="M13" i="7" a="1"/>
  <c r="M13" i="7" s="1"/>
  <c r="M14" i="7" a="1"/>
  <c r="M14" i="7" s="1"/>
  <c r="M15" i="7" a="1"/>
  <c r="M15" i="7" s="1"/>
  <c r="M16" i="7" a="1"/>
  <c r="M16" i="7" s="1"/>
  <c r="M17" i="7" a="1"/>
  <c r="M17" i="7" s="1"/>
  <c r="M18" i="7" a="1"/>
  <c r="M18" i="7" s="1"/>
  <c r="M19" i="7" a="1"/>
  <c r="M19" i="7" s="1"/>
  <c r="M20" i="7" a="1"/>
  <c r="M20" i="7" s="1"/>
  <c r="M21" i="7" a="1"/>
  <c r="M21" i="7" s="1"/>
  <c r="M22" i="7" a="1"/>
  <c r="M22" i="7" s="1"/>
  <c r="M23" i="7" a="1"/>
  <c r="M23" i="7" s="1"/>
  <c r="M24" i="7" a="1"/>
  <c r="M24" i="7" s="1"/>
  <c r="M25" i="7" a="1"/>
  <c r="M25" i="7" s="1"/>
  <c r="M26" i="7" a="1"/>
  <c r="M26" i="7" s="1"/>
  <c r="M2" i="7" a="1"/>
  <c r="M2" i="7" s="1"/>
  <c r="A3" i="3"/>
  <c r="E5" i="2"/>
  <c r="A5" i="2"/>
  <c r="E4" i="2"/>
  <c r="C26" i="7"/>
  <c r="C25" i="7"/>
  <c r="C24" i="7"/>
  <c r="O1" i="8"/>
  <c r="P1" i="8"/>
  <c r="Q1" i="8"/>
  <c r="C3" i="7"/>
  <c r="C4" i="7"/>
  <c r="C5" i="7"/>
  <c r="C6" i="7"/>
  <c r="C7" i="7"/>
  <c r="C8" i="7"/>
  <c r="C9" i="7"/>
  <c r="C10" i="7"/>
  <c r="C11" i="7"/>
  <c r="C12" i="7"/>
  <c r="C13" i="7"/>
  <c r="C14" i="7"/>
  <c r="C15" i="7"/>
  <c r="C16" i="7"/>
  <c r="C17" i="7"/>
  <c r="C18" i="7"/>
  <c r="C19" i="7"/>
  <c r="C20" i="7"/>
  <c r="C21" i="7"/>
  <c r="C22" i="7"/>
  <c r="C23" i="7"/>
  <c r="C2" i="7"/>
  <c r="A1" i="2"/>
  <c r="G3" i="3" s="1"/>
  <c r="A4" i="2"/>
  <c r="N4" i="3" s="1"/>
  <c r="A6" i="2"/>
  <c r="R3" i="3"/>
  <c r="L1" i="3"/>
  <c r="U1" i="3"/>
  <c r="B4" i="3"/>
  <c r="F1" i="3"/>
  <c r="D1" i="3"/>
  <c r="A4" i="3"/>
  <c r="A1" i="3"/>
  <c r="P4" i="2" a="1"/>
  <c r="Q5" i="2" a="1"/>
  <c r="P5" i="2" a="1"/>
  <c r="Q4" i="2" a="1"/>
  <c r="F4" i="3" l="1"/>
  <c r="R4" i="3"/>
  <c r="D5" i="8"/>
  <c r="D9" i="8"/>
  <c r="D13" i="8"/>
  <c r="D17" i="8"/>
  <c r="D21" i="8"/>
  <c r="D25" i="8"/>
  <c r="D29" i="8"/>
  <c r="D33" i="8"/>
  <c r="D37" i="8"/>
  <c r="D41" i="8"/>
  <c r="D45" i="8"/>
  <c r="D49" i="8"/>
  <c r="D53" i="8"/>
  <c r="D22" i="8"/>
  <c r="D30" i="8"/>
  <c r="D38" i="8"/>
  <c r="D42" i="8"/>
  <c r="D50" i="8"/>
  <c r="D4" i="8"/>
  <c r="D6" i="8"/>
  <c r="D10" i="8"/>
  <c r="D14" i="8"/>
  <c r="D18" i="8"/>
  <c r="D26" i="8"/>
  <c r="D34" i="8"/>
  <c r="D46" i="8"/>
  <c r="D54" i="8"/>
  <c r="D7" i="8"/>
  <c r="D11" i="8"/>
  <c r="D15" i="8"/>
  <c r="D19" i="8"/>
  <c r="D23" i="8"/>
  <c r="D27" i="8"/>
  <c r="D31" i="8"/>
  <c r="D35" i="8"/>
  <c r="D39" i="8"/>
  <c r="D43" i="8"/>
  <c r="D47" i="8"/>
  <c r="D51" i="8"/>
  <c r="D55" i="8"/>
  <c r="D24" i="8"/>
  <c r="D32" i="8"/>
  <c r="D40" i="8"/>
  <c r="D48" i="8"/>
  <c r="D8" i="8"/>
  <c r="D12" i="8"/>
  <c r="D16" i="8"/>
  <c r="D20" i="8"/>
  <c r="D28" i="8"/>
  <c r="D36" i="8"/>
  <c r="D44" i="8"/>
  <c r="D52" i="8"/>
  <c r="G1" i="3"/>
  <c r="H1" i="3"/>
  <c r="I4" i="3"/>
  <c r="I1" i="3"/>
  <c r="J4" i="3"/>
  <c r="T1" i="3"/>
  <c r="N3" i="3"/>
  <c r="V4" i="3"/>
  <c r="C3" i="3"/>
  <c r="B1" i="3"/>
  <c r="J1" i="3"/>
  <c r="K4" i="3"/>
  <c r="R1" i="3"/>
  <c r="K3" i="3"/>
  <c r="H4" i="3"/>
  <c r="S1" i="3"/>
  <c r="C1" i="3"/>
  <c r="K1" i="3"/>
  <c r="Q1" i="3"/>
  <c r="O1" i="3"/>
  <c r="U3" i="3"/>
  <c r="E1" i="3"/>
  <c r="C4" i="3"/>
  <c r="X4" i="3"/>
  <c r="V1" i="3"/>
  <c r="O3" i="3"/>
  <c r="I3" i="3"/>
  <c r="W3" i="3"/>
  <c r="E4" i="3"/>
  <c r="L3" i="3"/>
  <c r="E3" i="3"/>
  <c r="Q4" i="2"/>
  <c r="Q3" i="3" s="1"/>
  <c r="Q5" i="2"/>
  <c r="P5" i="2"/>
  <c r="P4" i="2"/>
  <c r="W4" i="3"/>
  <c r="X1" i="3"/>
  <c r="W1" i="3"/>
  <c r="U4" i="3"/>
  <c r="T4" i="3"/>
  <c r="S4" i="3"/>
  <c r="P3" i="3"/>
  <c r="S3" i="3"/>
  <c r="H3" i="3"/>
  <c r="D3" i="3"/>
  <c r="V3" i="3"/>
  <c r="G4" i="3"/>
  <c r="L4" i="3"/>
  <c r="P1" i="3"/>
  <c r="N1" i="3"/>
  <c r="M1" i="3"/>
  <c r="O4" i="3"/>
  <c r="D4" i="3"/>
  <c r="M4" i="3"/>
  <c r="F3" i="3"/>
  <c r="B3" i="3"/>
  <c r="T3" i="3"/>
  <c r="J3" i="3"/>
  <c r="M3" i="3"/>
  <c r="X3" i="3"/>
  <c r="D3" i="8"/>
  <c r="D2" i="8"/>
  <c r="E24" i="7" l="1"/>
  <c r="I13" i="7"/>
  <c r="I19" i="7"/>
  <c r="D12" i="7"/>
  <c r="L12" i="7" s="1"/>
  <c r="D4" i="7"/>
  <c r="L4" i="7" s="1"/>
  <c r="I11" i="7"/>
  <c r="E3" i="7"/>
  <c r="D19" i="7"/>
  <c r="L19" i="7" s="1"/>
  <c r="D14" i="7"/>
  <c r="L14" i="7" s="1"/>
  <c r="E9" i="7"/>
  <c r="E21" i="7"/>
  <c r="I17" i="7"/>
  <c r="D23" i="7"/>
  <c r="L23" i="7" s="1"/>
  <c r="I23" i="7"/>
  <c r="E13" i="7"/>
  <c r="D26" i="7"/>
  <c r="L26" i="7" s="1"/>
  <c r="I3" i="7"/>
  <c r="E19" i="7"/>
  <c r="E11" i="7"/>
  <c r="I10" i="7"/>
  <c r="D24" i="7"/>
  <c r="L24" i="7" s="1"/>
  <c r="I18" i="7"/>
  <c r="E25" i="7"/>
  <c r="I9" i="7"/>
  <c r="D8" i="7"/>
  <c r="L8" i="7" s="1"/>
  <c r="E5" i="7"/>
  <c r="I27" i="7"/>
  <c r="D25" i="7"/>
  <c r="L25" i="7" s="1"/>
  <c r="D11" i="7"/>
  <c r="L11" i="7" s="1"/>
  <c r="D27" i="7"/>
  <c r="L27" i="7" s="1"/>
  <c r="E6" i="7"/>
  <c r="D20" i="7"/>
  <c r="L20" i="7" s="1"/>
  <c r="I2" i="7"/>
  <c r="I14" i="7"/>
  <c r="D2" i="7"/>
  <c r="L2" i="7" s="1"/>
  <c r="E26" i="7"/>
  <c r="E4" i="7"/>
  <c r="E17" i="7"/>
  <c r="D17" i="7"/>
  <c r="L17" i="7" s="1"/>
  <c r="I6" i="7"/>
  <c r="D6" i="7"/>
  <c r="L6" i="7" s="1"/>
  <c r="E10" i="7"/>
  <c r="D16" i="7"/>
  <c r="L16" i="7" s="1"/>
  <c r="I5" i="7"/>
  <c r="E20" i="7"/>
  <c r="D18" i="7"/>
  <c r="L18" i="7" s="1"/>
  <c r="I21" i="7"/>
  <c r="I20" i="7"/>
  <c r="E22" i="7"/>
  <c r="E12" i="7"/>
  <c r="I15" i="7"/>
  <c r="D15" i="7"/>
  <c r="L15" i="7" s="1"/>
  <c r="I25" i="7"/>
  <c r="D7" i="7"/>
  <c r="L7" i="7" s="1"/>
  <c r="I12" i="7"/>
  <c r="E16" i="7"/>
  <c r="D21" i="7"/>
  <c r="L21" i="7" s="1"/>
  <c r="D10" i="7"/>
  <c r="L10" i="7" s="1"/>
  <c r="E7" i="7"/>
  <c r="D9" i="7"/>
  <c r="L9" i="7" s="1"/>
  <c r="I22" i="7"/>
  <c r="D5" i="7"/>
  <c r="L5" i="7" s="1"/>
  <c r="E14" i="7"/>
  <c r="I4" i="7"/>
  <c r="D22" i="7"/>
  <c r="L22" i="7" s="1"/>
  <c r="E15" i="7"/>
  <c r="D3" i="7"/>
  <c r="L3" i="7" s="1"/>
  <c r="E23" i="7"/>
  <c r="P4" i="3"/>
  <c r="Q4" i="3"/>
  <c r="E18" i="7"/>
  <c r="D13" i="7"/>
  <c r="L13" i="7" s="1"/>
  <c r="I26" i="7"/>
  <c r="I24" i="7"/>
  <c r="I16" i="7"/>
  <c r="E27" i="7"/>
  <c r="E8" i="7"/>
  <c r="I7" i="7"/>
  <c r="I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<sst xmlns="http://schemas.openxmlformats.org/spreadsheetml/2006/main" count="1065" uniqueCount="378">
  <si>
    <t>STT</t>
  </si>
  <si>
    <t>CongTrinh</t>
  </si>
  <si>
    <t>NoiDungCongTac</t>
  </si>
  <si>
    <t>BatDau</t>
  </si>
  <si>
    <t>KetThuc</t>
  </si>
  <si>
    <t>DiaDiem</t>
  </si>
  <si>
    <t>KhoiLuong</t>
  </si>
  <si>
    <t>Di dời hệ thống điện trung hạ thế, trạm biến áp - thuộc dự án: Đường Nguyễn Thị Minh Khai, Huyện Xuân Lộc</t>
  </si>
  <si>
    <t>Lưới hạ thế độc lập sau TBA Minh Khai 1</t>
  </si>
  <si>
    <t>Di dời lưới hạ thế ABC độc lập</t>
  </si>
  <si>
    <t>VatTu</t>
  </si>
  <si>
    <t>Sử dụng lại toàn bộ vật tư hiện hữu</t>
  </si>
  <si>
    <t>DungCuAnToan</t>
  </si>
  <si>
    <t>DuCuDoLuong</t>
  </si>
  <si>
    <t>DungCuThiCong</t>
  </si>
  <si>
    <t>Họ và tên</t>
  </si>
  <si>
    <t>Làm biện pháp an toàn</t>
  </si>
  <si>
    <t>Làm tại vị trí phức tạp</t>
  </si>
  <si>
    <t>Chức danh</t>
  </si>
  <si>
    <t>Ghi chú</t>
  </si>
  <si>
    <t>Bậc AT</t>
  </si>
  <si>
    <t>TT</t>
  </si>
  <si>
    <t>Bậc thợ</t>
  </si>
  <si>
    <t>Đinh Minh Cảnh</t>
  </si>
  <si>
    <t>Công nhân</t>
  </si>
  <si>
    <t>Huỳnh Tấn Sơn</t>
  </si>
  <si>
    <t>Trần Văn Sỹ</t>
  </si>
  <si>
    <t>Chỉ huy trưởng</t>
  </si>
  <si>
    <t>Ngô Minh Nhật</t>
  </si>
  <si>
    <t>Đinh Nguyễn Trọng Toàn</t>
  </si>
  <si>
    <t>Đinh Văn Cường</t>
  </si>
  <si>
    <t>Đinh Xuân Dũng</t>
  </si>
  <si>
    <t>Nguyễn Hoàng Tú</t>
  </si>
  <si>
    <t>Hồ Văn Bình</t>
  </si>
  <si>
    <t>Hồ Văn Cường</t>
  </si>
  <si>
    <t>Đinh Minh Hòa</t>
  </si>
  <si>
    <t>Hoàng Văn Long</t>
  </si>
  <si>
    <t>Hoàng Văn Minh</t>
  </si>
  <si>
    <t>Huỳnh Chí Tâm</t>
  </si>
  <si>
    <t>Lê Hoàng Vũ</t>
  </si>
  <si>
    <t>Nguyễn Trọng Hữu</t>
  </si>
  <si>
    <t>Huỳnh Mạnh Quyền</t>
  </si>
  <si>
    <t>Lê Văn Xin</t>
  </si>
  <si>
    <t>Lộc Văn Hòa</t>
  </si>
  <si>
    <t>Lưu Trọng Hiếu</t>
  </si>
  <si>
    <t>Phạm Nguyễn Hoàng Phi</t>
  </si>
  <si>
    <t>Mai Văn Thái</t>
  </si>
  <si>
    <t>Nguyễn Anh Tú</t>
  </si>
  <si>
    <t>Trần Hoàn Thái</t>
  </si>
  <si>
    <t>Đỗ Sơn Lâm</t>
  </si>
  <si>
    <t>Nguyễn Hữu Chung</t>
  </si>
  <si>
    <t>Nguyễn Huy Quang</t>
  </si>
  <si>
    <t>Nguyễn Minh Hiếu</t>
  </si>
  <si>
    <t>Nguyễn Ngọc Châu</t>
  </si>
  <si>
    <t>Trần Hoàng Thiện</t>
  </si>
  <si>
    <t>Nguyễn Ngọc Thuận</t>
  </si>
  <si>
    <t>Nguyễn Hoàng Dương Khang</t>
  </si>
  <si>
    <t>Nguyễn Phú Trung</t>
  </si>
  <si>
    <t>Nguyễn Nhật Khánh</t>
  </si>
  <si>
    <t>Nguyễn Tiến Dũng</t>
  </si>
  <si>
    <t>Nguyễn Tiến Dũng.</t>
  </si>
  <si>
    <t>Nguyễn Tiến Long</t>
  </si>
  <si>
    <t>Nguyễn Tân Long</t>
  </si>
  <si>
    <t>Đinh Văn Chức</t>
  </si>
  <si>
    <t>Nguyễn Văn Triều</t>
  </si>
  <si>
    <t>Nguyễn Viết Phi</t>
  </si>
  <si>
    <t>x</t>
  </si>
  <si>
    <t>Phạm Đình Chinh</t>
  </si>
  <si>
    <t>Nguyễn Văn Hoàng Nam</t>
  </si>
  <si>
    <t>Phạm Thanh Nguyên</t>
  </si>
  <si>
    <t>Phạm Văn Trung</t>
  </si>
  <si>
    <t>Thạch Văn Quýt</t>
  </si>
  <si>
    <t>Trần Đức Thịnh</t>
  </si>
  <si>
    <t>Nguyễn Ngọc Sơn</t>
  </si>
  <si>
    <t>Đinh Nguyễn Trung Hiếu</t>
  </si>
  <si>
    <t>Trần Như Lợi</t>
  </si>
  <si>
    <t>Trần Quốc Bảo</t>
  </si>
  <si>
    <t>Cán bộ kỹ thuật</t>
  </si>
  <si>
    <t>Hoàng Như Hoàn</t>
  </si>
  <si>
    <t>Giám sát kỹ thuật</t>
  </si>
  <si>
    <t>Trương Hữu Duy</t>
  </si>
  <si>
    <t>Minh Khai</t>
  </si>
  <si>
    <t>Thọ Vực</t>
  </si>
  <si>
    <t>Tiếp địa</t>
  </si>
  <si>
    <t>Trụ đấu nối</t>
  </si>
  <si>
    <t>Di dời 11 trụ hạ thế từ trụ 03/01 đến trụ 03/11 và toàn bộ dây khách hàng đấu nối vào lưới hạ thế hiện hữu</t>
  </si>
  <si>
    <t>Máy đo điện trở tiếp địa, điện trở tiếp xúc.</t>
  </si>
  <si>
    <t>Dây đai an toàn, quần, áo, nón bảo hộ lao động…
Găng tay hạ thế</t>
  </si>
  <si>
    <t>ThietBiDongCat</t>
  </si>
  <si>
    <t>ViTriTiepDia</t>
  </si>
  <si>
    <t>BienBao</t>
  </si>
  <si>
    <t>PhuongThucTruyenLenh</t>
  </si>
  <si>
    <t>Trực tiếp</t>
  </si>
  <si>
    <t>Tại TBA Minh Khai 1</t>
  </si>
  <si>
    <t>FCO và MCCB TBA Minh Khai 1</t>
  </si>
  <si>
    <t>Đơn vị 1</t>
  </si>
  <si>
    <t>Đơn vị 2</t>
  </si>
  <si>
    <t>Đơn vị 3</t>
  </si>
  <si>
    <t>Đơn vị 4</t>
  </si>
  <si>
    <t xml:space="preserve">từ trụ 03/01 đến trụ 03/11 </t>
  </si>
  <si>
    <t>PhamVi</t>
  </si>
  <si>
    <t>GiayBanGiao</t>
  </si>
  <si>
    <t>Không</t>
  </si>
  <si>
    <t>BanGiao1</t>
  </si>
  <si>
    <t>BanGiao2</t>
  </si>
  <si>
    <t>BanGiao3</t>
  </si>
  <si>
    <t>Đã tiếp địa, Cấm đóng điện</t>
  </si>
  <si>
    <t>Xe cẩu 5T: 02 xe.
Kích tăng dây: 4 cái.
Kìm ép thủy lực: 3 cái.
Puly: 6 cái.
Các dụng cụ khác như cle, mỏ lết, cuốc, xà beng …</t>
  </si>
  <si>
    <t>Di dời hệ thống điện trung hạ thế, trạm biến áp - thuộc dự án: Đường Xuân Bắc - Bảo Quang</t>
  </si>
  <si>
    <t>Di dời hệ thống điện trung hạ thế</t>
  </si>
  <si>
    <t>Hệ thống điện trung hạ thế thuộc nhánh rẽ Thọ Vực</t>
  </si>
  <si>
    <t xml:space="preserve">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ab </t>
  </si>
  <si>
    <t>a.	Đường dây trung thế:
Phương án di dời: Thực hiện di dời lưới điện trung thế hiện hữu ra phía ngoài chỉ giới xây dựng, cách tìm đường hiện hữu 7-8m:  Di dời trụ 09 trụ:  001A;  024;  030; 030A; 031; 031A;  032;  046A;  054A.
+ Trụ TT001A:  Sử dụng trụ, đà, sứ hiện hữu. Thay dây cột sứ hiện hữu. 
+ Trụ TT024:  Sử dụng trụ, đà, sứ hiện hữu. Thay dây cột sứ hiện hữu. 
+ Trụ TT030:  Sử dụng trụ, đà, sứ hiện hữu. Thay dây cột sứ hiện hữu.
+ Trụ TT030A:  Sử dụng trụ, đà, sứ hiện hữu. Thay dây cột sứ hiện hữu. + Trụ TT031:  Sử dụng trụ, đà, sứ hiện hữu.
+ Trụ TT032: Sử dụng trụ, đà, sứ hiện hữu.
+ Trụ TT046A:  Sử dụng trụ, đà, sứ hiện hữu.
+ Trụ TT054A:  Sử dụng trụ, đà, sứ hiện hữu.
+ Khoảng trụ 054A đến 054A/001:  Thay dây dẫn trung thế từ 3AC50 + AC50 thành  3ACXH50 + AC50mm. Thu hồi 240m cáp AC50mm.
b.	 Đường dây hạ thế sau TBA Xuân Bắc 6A, 6C, Thọ Vực 3:
-	Cấp điện áp 220/380V
-	Dây dẫn hiện hữu:  2AV70 + A50; ABC3x95mm2.
-	Phương án di dời: Thực hiện di dời lưới điện hạ thế hiên hữu ra phia ngoài chi giới dựng, cách tim đường hiện hữu 7-8m: 9 trụ. Sử dụng lại vật tư hiện hữu.
+  Khoảng trụ 054A đến 054A/HT01: Thay dây dẫn hạ thế từ 3AV70 + A50 thành ABC4x95mm. Thu hồi 120m cáp AV70mm, 40m cáp A50.
c.	Trạm biến áp
Di dời 01 TBA treo trên trụ trung thế hiện hữu ra phía ngoài chi giới xây dựng, cách tim đường hiện hữu 8m: Di dời TBA Thọ Vực 3.</t>
  </si>
  <si>
    <t>Cắt Recloser Thọ Vực + 3LTD nhánh rẽ Thọ Vực</t>
  </si>
  <si>
    <t>Tại trụ 001A nhánh rẽ Thọ Vực</t>
  </si>
  <si>
    <t>từ trụ 001A đến trụ 012 lưới hạ thế trạm Xuân Bắc 6A, 6C thuộc nhánh rẽ Thọ Vực</t>
  </si>
  <si>
    <t>từ trụ 001A đến trụ 054 thuộc nhánh rẽ Thọ Vực</t>
  </si>
  <si>
    <t>từ trụ 054 đến trụ 055 và trụ 054/001 thuộc nhánh rẽ Thọ Vực</t>
  </si>
  <si>
    <t>Nhánh rẽ Thọ Vực</t>
  </si>
  <si>
    <t xml:space="preserve">trụ 010A </t>
  </si>
  <si>
    <t>Nông trường Thọ Vực 1, Nông trường Thọ Vực 2.</t>
  </si>
  <si>
    <t>Thọ Vực 2, Thọ Vực 2A, Thọ Vực 3</t>
  </si>
  <si>
    <t>001A</t>
  </si>
  <si>
    <t>029, 041/001B</t>
  </si>
  <si>
    <t>054, 055</t>
  </si>
  <si>
    <t>054/001</t>
  </si>
  <si>
    <t>DOTinCay</t>
  </si>
  <si>
    <t>1.	MAIFI: 	0 
2.	SAIDI: 	11,5
3.	SAIFI: 	0,02</t>
  </si>
  <si>
    <t>1.	MAIFI: 	0 
2.	SAIDI: 	0,9
3.	SAIFI: 	0,001</t>
  </si>
  <si>
    <t>CHTT</t>
  </si>
  <si>
    <t>KHU VỰC</t>
  </si>
  <si>
    <t>PHẠM VI CẮT ĐIỆN</t>
  </si>
  <si>
    <t>THỜI GIAN DỰ KIẾN CẮT ĐIỆN</t>
  </si>
  <si>
    <t>ĐƠN VỊ CÔNG TÁC</t>
  </si>
  <si>
    <t>Thứ</t>
  </si>
  <si>
    <t>TBA Nam Hà 1</t>
  </si>
  <si>
    <t>Công ty TNHH Thu Lộc</t>
  </si>
  <si>
    <t>TBA Nam Hà 1A</t>
  </si>
  <si>
    <t>TBA Nam Hà 3</t>
  </si>
  <si>
    <t>TBA Xuân Tây 10A</t>
  </si>
  <si>
    <t>Cải tạo lưới điện trung hạ thế huyện Cẩm Mỹ năm 2020</t>
  </si>
  <si>
    <t>Thay dây hạ thế TBA Nam Hà 1</t>
  </si>
  <si>
    <t>Thay dây hạ thế TBA Nam Hà 1A</t>
  </si>
  <si>
    <t>Thay dây hạ thế TBA Nam Hà 3</t>
  </si>
  <si>
    <t>Thay dây hạ thế TBA Xuân Tây 10A</t>
  </si>
  <si>
    <t>Đường dây hạ thế sau TBA Nam hà 1</t>
  </si>
  <si>
    <t>Khu vực</t>
  </si>
  <si>
    <t>Cắt</t>
  </si>
  <si>
    <t>Bảo vệ</t>
  </si>
  <si>
    <t xml:space="preserve">FCO + MCCB </t>
  </si>
  <si>
    <t>TBA Sông Ray 8A</t>
  </si>
  <si>
    <t>Nhánh rẽ Đồng Tâm 1</t>
  </si>
  <si>
    <t>LBS khí + 3 LTD</t>
  </si>
  <si>
    <t>Nâng cấp đường dây hạ thế và TBA Sông Ray 7 từ 1 pha lên 3 pha, cấy TBA Sông Ray 7A</t>
  </si>
  <si>
    <t>Nhánh rẽ Lâm San 10, 11, 12</t>
  </si>
  <si>
    <t xml:space="preserve">3xFCO </t>
  </si>
  <si>
    <t xml:space="preserve">Recloser + 3 LTD </t>
  </si>
  <si>
    <t>Nhánh rẽ Lâm San</t>
  </si>
  <si>
    <t>Trồng trụ trung thế 015A đấu nối trung thế, tách lưới, sang tải TBA Sông Ray 2, Sông Ray 2A. Đấu nối trung thế và di dời TBA Sông Ray 4A</t>
  </si>
  <si>
    <t>Nhánh rẽ Cánh đồng Xuân Tây 1</t>
  </si>
  <si>
    <t>Nhánh rẽ Láng Me</t>
  </si>
  <si>
    <t>Đấu nối trung thế trụ 009A, 013. Tách lưới hạ thế sau TBA Cánh đồng Xuân Tây 1A, Cánh đồng Xuân Tây 1B</t>
  </si>
  <si>
    <t>Đấu nối trung thế trụ 087 nhánh rẽ Láng Me. Cấy TBA Láng Me 3B, Tách lưới hạ thế sau TBA Láng Me 3 sang Láng Me 3B</t>
  </si>
  <si>
    <t>Nhánh rẽ Thoại Hương 3, 4</t>
  </si>
  <si>
    <t xml:space="preserve">FCO </t>
  </si>
  <si>
    <t>Đấu nối trung thế trụ 021 Nhánh rẽ Thoại Hương 3, 4. Di dời TBA Thoại Hương 4</t>
  </si>
  <si>
    <t>Nhánh rẽ Xuân Tây 19</t>
  </si>
  <si>
    <t>Đấu nối trung thế trụ 017 Nhánh rẽ Xuân Tây 19.Cấy TBA Xuân Tây 19A, tách lưới hạ thế TBA Xuân Tây 19 sang TBA Xuân Tây 19A</t>
  </si>
  <si>
    <t>Nhánh rẽ Láng Me 5</t>
  </si>
  <si>
    <t>Nhánh rẽ Sông Nhạn</t>
  </si>
  <si>
    <t>Di dời TBA Suối Râm 7</t>
  </si>
  <si>
    <t>Nhánh rẽ Nam Hà</t>
  </si>
  <si>
    <t>Lắp đặt trạm biến áp Nam Hà 3B tách lưới hạ thế trạm Nam Hà 3 sang nhận điện trạm Nam Hà 3B đấu nối đường dây trung thế xây dựng mới</t>
  </si>
  <si>
    <t>Nhánh rẽ Tân Bảo</t>
  </si>
  <si>
    <t>Lắp đặt trạm biến áp Tân Bảo 3A, tách lưới hạ thế trạm Tân Bảo 3 sang nhận điện trạm Tân Bảo 3A</t>
  </si>
  <si>
    <t>Di dời TBA Tân Bảo 3</t>
  </si>
  <si>
    <t>Đinh Minh Trí</t>
  </si>
  <si>
    <t>Amper kìm, máy đo điện trở tiếp địa…</t>
  </si>
  <si>
    <t>QLVH-AT</t>
  </si>
  <si>
    <t>DVTC-AT</t>
  </si>
  <si>
    <t>Cắt FCO + MCCB TBA Nam Hà 1
Tiếp địa hạ thế tại MCCB TBA Nam Hà 1</t>
  </si>
  <si>
    <t>Cắt FCO + MCCB TBA Nam Hà 1A
Tiếp địa hạ thế tại MCCB TBA Nam Hà 1A</t>
  </si>
  <si>
    <t>Cắt FCO + MCCB TBA Nam Hà 3
Tiếp địa hạ thế tại MCCB TBA Nam Hà 3</t>
  </si>
  <si>
    <t>Tiếp địa trụ trung thế 381 
Tiếp địa hạ thế TBA Sông Ray 7</t>
  </si>
  <si>
    <t xml:space="preserve">Cắt LBS khí Đồng Tâm 1 + 3 LTD Đồng Tâm 1
Cắt LBS khí Sông Ray + 3 LTD Sông Ray 1
Tiếp địa trụ trung thế 357 </t>
  </si>
  <si>
    <t>Tiếp địa trung hạ áp tại TBA Lâm San 11A, 11D</t>
  </si>
  <si>
    <t>Cắt 3xFCO Nhánh rẽ Lâm San 10, 11, 12
Tiếp địa trụ trung thế 357 Nhánh rẽ Lâm San 10, 11, 12</t>
  </si>
  <si>
    <t>Cắt Recloser + 3 LTD Lâm San
Tiếp địa trụ trung thế 011A</t>
  </si>
  <si>
    <t xml:space="preserve">Tiếp địa trụ trung thế 075 </t>
  </si>
  <si>
    <t>Cắt 3xFCO Nhánh rẽ Cánh đồng Xuân Tây 1</t>
  </si>
  <si>
    <t>Tiếp địa trung hạ áp tại TBA Cánh đồng Xuân Tây 1</t>
  </si>
  <si>
    <t>Cắt Recloser + 3 LTD Láng Me
Tiếp địa trụ trung thế 079</t>
  </si>
  <si>
    <t>Tiếp địa trụ trung thế 094
 Tiếp địa hạ thế TBA Láng Me 3</t>
  </si>
  <si>
    <t>Cắt FCO Nhánh rẽ Thoại Hương 3, 4</t>
  </si>
  <si>
    <t>Cắt FCO Nhánh rẽ Xuân Tây 19</t>
  </si>
  <si>
    <t>Tiếp địa trung hạ áp tại TBA Thoại Hương 3, 4</t>
  </si>
  <si>
    <t>Tiếp địa trung hạ áp tại TBA Xuân Tây 19</t>
  </si>
  <si>
    <t>Cắt 3xFCO Nhánh rẽ Láng Me 5
Tiếp địa trụ trung thế 107</t>
  </si>
  <si>
    <t>Tiếp địa trụ trung thế 131
 Tiếp địa hạ thế TBA Láng Me 5, 5A, 5B</t>
  </si>
  <si>
    <t>Cắt Recloser + 3 LTD Nhánh rẽ Sông Nhạn
Tiếp địa trụ trung thế 006</t>
  </si>
  <si>
    <t xml:space="preserve">Tiếp địa trụ trung thế 023A </t>
  </si>
  <si>
    <t>Cắt Recloser + 3 LTD Nhánh rẽ Nam Hà
Cắt 3 LTD Xuân Bảo - Nam Hà
Tiếp địa trụ trung thế 326</t>
  </si>
  <si>
    <t>Tiếp địa trụ trung thế 351</t>
  </si>
  <si>
    <t>Tại trụ trung thế 334/003, 334/003/019 và lưới điện hạ thế thuộc TBA Nam Hà 3</t>
  </si>
  <si>
    <t>Thời gian</t>
  </si>
  <si>
    <t>Ngày dự kiến</t>
  </si>
  <si>
    <t>Ngày đăng ký</t>
  </si>
  <si>
    <t>Tại trụ trung thế 018 nhánh Xuân Bảo - Bảo Bình và lưới điện hạ thế thuộc trạm Tân Bảo 3</t>
  </si>
  <si>
    <t>Cắt Recloser + 3 LTD Nhánh rẽ Tân Bảo
Tiếp địa trụ trung thế 117</t>
  </si>
  <si>
    <t>Tiếp địa trụ trung thế 147</t>
  </si>
  <si>
    <t>Tại trụ trung thế 334, 334/001, 335A, 348A, 339A nhánh rẽ Xuân Bảo - Nam Hà</t>
  </si>
  <si>
    <t>Tại trụ trung thế TBA Tân Bảo 3 và trụ trung thế 131 nhánh rẽ Xuân Bảo - Bảo Bình</t>
  </si>
  <si>
    <t> Lưới hạ thế thuộc trạm Nam Hà 1</t>
  </si>
  <si>
    <t>Lưới điện hạ thế thuộc trạm Nam Hà 1A</t>
  </si>
  <si>
    <t>Lưới điện hạ thế thuộc trạm Nam Hà 3</t>
  </si>
  <si>
    <t>Đường dây hạ thế thuộc trạm biến áp Xuân Tây 10A</t>
  </si>
  <si>
    <t>Đường dây hạ thế thuộc Trạm Sông Ray 8A</t>
  </si>
  <si>
    <t>Tại trạm biến áp Sông Ray 7</t>
  </si>
  <si>
    <t>Từ khoản trụ 015, 016, 072 nhánh Lâm San tuyến 471 Xuân Mỹ</t>
  </si>
  <si>
    <t>Từ sau 3xFCO nhánh Cánh Đồng Xuân Tây 1</t>
  </si>
  <si>
    <t>Tại trụ 087 nhánh Láng Me tuyến 471 Xuân Mỹ</t>
  </si>
  <si>
    <t>Tại trụ trạm biến áp Thoại Hương 4 tuyến 471 Xuân Mỹ</t>
  </si>
  <si>
    <t>Nhấn vẽ Xuân Tây 19 tuyến 471 Xuân Mỹ</t>
  </si>
  <si>
    <t>Từ sau 3 FCO nhánh Láng Me 5 tuyến 471 Xuân Mỹ</t>
  </si>
  <si>
    <t>Tại trụ trạm suối râm 7 và trụ trung thế 023/007</t>
  </si>
  <si>
    <t>NgayKhaoSat</t>
  </si>
  <si>
    <t>Thay dây hạ thế  sau TBA Nam Hà 1</t>
  </si>
  <si>
    <t>Thay dây hạ thế  sau TBA Nam Hà 1A</t>
  </si>
  <si>
    <t>Thay dây hạ thế  sau TBA Nam Hà 3</t>
  </si>
  <si>
    <t>Thay dây hạ thế  sau TBA Xuân Tây 10A</t>
  </si>
  <si>
    <t>Thay dây hạ thế  sau TBA Sông Ray 8A</t>
  </si>
  <si>
    <t xml:space="preserve">Từ 07 giờ 30 phút – 15 giờ 00 phút. </t>
  </si>
  <si>
    <t>PhamViLamViec</t>
  </si>
  <si>
    <t>BienPhapKyThuat</t>
  </si>
  <si>
    <t>TBA Sông Ray 7</t>
  </si>
  <si>
    <t>Tiếp địa hạ thế tại MCCB TBA Sông Ray 7</t>
  </si>
  <si>
    <t>Cắt FCO + MCCB TBA Sông Ray 7</t>
  </si>
  <si>
    <t>Lưới điện hạ thế thuộc trạm Sông Ray 7</t>
  </si>
  <si>
    <t>Nâng cấp đường dây hạ thế sau TBA Sông Ray 7</t>
  </si>
  <si>
    <t>Cắt FCO + MCCB TBA Sông Ray 8A</t>
  </si>
  <si>
    <t>Tiếp địa hạ thế tại MCCB TBA Sông Ray 8A</t>
  </si>
  <si>
    <t>Cắt FCO + MCCB TBA Xuân Tây 10A
Tiếp địa hạ thế tại MCCB TBA Xuân Tây 10A</t>
  </si>
  <si>
    <t>Nhánh rẽ Thừa Đức 11</t>
  </si>
  <si>
    <t>Cắt 1xFCO nhánh rẽ Thừa Đức 11</t>
  </si>
  <si>
    <t>Tiếp địa trụ trạm Thừa Đức 11</t>
  </si>
  <si>
    <t>Tại trụ trung thế 010, 032 và lưới điện hạ thế thuộc TBA Thừa Đức 11</t>
  </si>
  <si>
    <t>Đấu nối lưới trung thế Thừa Đức 11, cấy TBA Thừa Đức 11, tách 1 phần lưới hạ thế TBA Thừa Đức 11 sang nhận điện từ TBA Thừa Đức 11A</t>
  </si>
  <si>
    <t>Cắt 1xFCO nhánh rẽ Suối Râm 7A</t>
  </si>
  <si>
    <t>Nhánh rẽ Suối Râm 7A</t>
  </si>
  <si>
    <t>Tiếp địa trụ trung thế 002</t>
  </si>
  <si>
    <t>Cấy TBA Suối Râm 7A (1x75kVA) tại trụ trung thế 017 nhánh rẽ Suối Râm 7A, tách 1 phần lưới hạ thế từ TBA Suối Râm 7 sang nhận điện TBA Suối Râm 7A</t>
  </si>
  <si>
    <t xml:space="preserve"> </t>
  </si>
  <si>
    <t>Lưới điện trung hạ thế thuộc nhánh rẽ Suối Râm 7A</t>
  </si>
  <si>
    <t>Cắt 02 MCCB phân đoạn tại trụ HTĐL 01</t>
  </si>
  <si>
    <t>Lưới điện hạ thế độc lập sau trạm biến áp Sông Ray 7</t>
  </si>
  <si>
    <t>Đấu nối hạ thế, Nâng cấp đường dây hạ thế sau TBA Sông Ray 7</t>
  </si>
  <si>
    <t>Nâng cấp đường dây hạ thế và TBA Sông Ray 7 từ 1 pha lên 3 pha, cấy TBA Sông Ray 7A, đấu nối trung hạ thế</t>
  </si>
  <si>
    <t>Nhánh rẽ Lâm San 10 11 12 tuyến 471 Xuân Mỹ</t>
  </si>
  <si>
    <t xml:space="preserve">Nâng cấp đường dây trung thế và trạm biến áp Láng Me 5B từ 1 pha lên 3 pha, di dời TBA Láng Me 5, cấy trạm biến áp lá me 5A-1, Cấy mới TBA Láng Me 5C, tách một phần lưới hạ thế Láng Me 5B sang nhận điện TBA Láng Me 5C, Đấu nối nhánh rẽ nhánh rẽ Láng Me 5C tại trụ 135 </t>
  </si>
  <si>
    <t xml:space="preserve">Từ 07 giờ 30 phút – 16 giờ 00 phút. </t>
  </si>
  <si>
    <t xml:space="preserve">Di dời TBA Nam Hà 1 từ trụ 344 trục chính tuyến 477 Xuân Bảo về trụ 344/01 XDM, Trồng đôn trụ trung thế 335A, 344, 348A; trồng đôn trụ hạ thế 339A trục chính tuyến 477 Xuân Bảo
</t>
  </si>
  <si>
    <t>Nhánh rẽ Sông Ray 7A</t>
  </si>
  <si>
    <t>Tại trạm biến áp Sông Ray 7A</t>
  </si>
  <si>
    <t>Tiếp địa trung hạ thế  trạm biến áp Sông Ray 7A</t>
  </si>
  <si>
    <t xml:space="preserve">     </t>
  </si>
  <si>
    <t>Tách lưới, sang tải TBA  Sông Ray 7 sang TBA  Sông Ray 7A, đấu nối máy biến áp</t>
  </si>
  <si>
    <t>Cắt FCO + MCCB TBA Sông Ray 7A
Cắt 3xFCO nhánh rẽ Sông Ray 7A</t>
  </si>
  <si>
    <t>Nâng cấp đường dây trung thế nhánh rẽ Nhân Nghĩa 11 từ 1 pha lên 3 pha</t>
  </si>
  <si>
    <t>Nhánh rẽ Nhân Nghĩa 11</t>
  </si>
  <si>
    <t xml:space="preserve">Từ 07 giờ 30 phút – 11 giờ 00 phút. </t>
  </si>
  <si>
    <t>Cắt LBS khí + 3 LTD</t>
  </si>
  <si>
    <t>Cắt LBS khí Ấp 8 Nhân Nghĩa + 3 LTD
Cắt LBS khí Nhân Nghĩa - Xuân Bảo + 3LTD
Tiếp địa trụ trung thế 174</t>
  </si>
  <si>
    <t>Tiếp địa hạ thế tại TBA Nhân Nghĩa 11</t>
  </si>
  <si>
    <t>ChiHuyTrucTiep</t>
  </si>
  <si>
    <t>Từ trụ 172 đến trụ 172/005 nhánh rẽ Nhân Nghĩa 11</t>
  </si>
  <si>
    <t>sda</t>
  </si>
  <si>
    <t>28/10/2020</t>
  </si>
  <si>
    <t>Nâng cấp đường dây trung thế nhánh rẽ Nhân Nghĩa 11 từ 1 pha lên 3 pha. Đấu nối trung thế nhánh rẽ Nhân Nghĩa 11A</t>
  </si>
  <si>
    <t>Từ trụ 172/005 đến trụ 172/011 nhánh rẽ Nhân Nghĩa 11</t>
  </si>
  <si>
    <t xml:space="preserve">Từ 08 giờ 30 phút – 16 giờ 00 phút. </t>
  </si>
  <si>
    <t>FCO</t>
  </si>
  <si>
    <t>Tiếp địa trung hạ thế tại TBA Nhân Nghĩa 11</t>
  </si>
  <si>
    <t>Cắt FCO nhánh rẽ Nhân Nghĩa 11 tại trụ 172/001</t>
  </si>
  <si>
    <t>Nguyễn Văn Tây</t>
  </si>
  <si>
    <t xml:space="preserve">        /         /2020</t>
  </si>
  <si>
    <t xml:space="preserve">        /         /2021</t>
  </si>
  <si>
    <t xml:space="preserve">        /         /2022</t>
  </si>
  <si>
    <t xml:space="preserve">        /         /2023</t>
  </si>
  <si>
    <t xml:space="preserve">        /         /2024</t>
  </si>
  <si>
    <t xml:space="preserve">        /         /2025</t>
  </si>
  <si>
    <t xml:space="preserve">        /         /2026</t>
  </si>
  <si>
    <t xml:space="preserve">        /         /2027</t>
  </si>
  <si>
    <t xml:space="preserve">        /         /2028</t>
  </si>
  <si>
    <t>Lưới điện hạ thế TBA Cây Da 2</t>
  </si>
  <si>
    <t>Lưới điện hạ thế TBA Cây Da 2A</t>
  </si>
  <si>
    <t>Lưới điện hạ thế TBA Cây Da 3</t>
  </si>
  <si>
    <t>Lưới điện hạ thế TBA Cây Da 4</t>
  </si>
  <si>
    <t>Lưới điện hạ thế TBA Cây Da 5</t>
  </si>
  <si>
    <t>Lưới điện hạ thế TBA Cây Da 5A</t>
  </si>
  <si>
    <t>Lưới điện hạ thế TBA Cây Da 6</t>
  </si>
  <si>
    <t>Lưới điện hạ thế TBA Cây Da 1</t>
  </si>
  <si>
    <t>Lưới điện hạ thế TBA Cây Da 6A</t>
  </si>
  <si>
    <t>Lưới điện hạ thế TBA Cây Da 7</t>
  </si>
  <si>
    <t>Lưới điện hạ thế TBA Cây Da 10</t>
  </si>
  <si>
    <t>Lưới điện hạ thế TBA Cây Da 11</t>
  </si>
  <si>
    <t>s</t>
  </si>
  <si>
    <t xml:space="preserve">       /         /2020</t>
  </si>
  <si>
    <t>Nguyễn Công Lý</t>
  </si>
  <si>
    <t>Nhánh rẽ An Phú Khánh 7</t>
  </si>
  <si>
    <t>Lắp đặt TBA, đấu nối</t>
  </si>
  <si>
    <t>Trụ 004 Nhánh rẽ An Phú Khánh 7</t>
  </si>
  <si>
    <t>Cắt LBS khí Xuân Đà + 3 LTD
Cắt LBS khí Trung Ngãi + 3 LTD</t>
  </si>
  <si>
    <t>Nhánh rẽ Hà Phương 4</t>
  </si>
  <si>
    <t>Đấu nối đường dây trung thế xây dựng mới</t>
  </si>
  <si>
    <t>Trụ 004-005 Nhánh rẽ Hà Phương 4</t>
  </si>
  <si>
    <t>Tiếp địa trụ trung thế trụ 3xFCO Nhánh rẽ Hà Phương 4</t>
  </si>
  <si>
    <t>Tiếp địa trụ trung thế trụ 3xFCO Nhánh rẽ An Phú Khánh 7</t>
  </si>
  <si>
    <t>Nhánh rẽ Cơ sở gạch Trần Thị Thế</t>
  </si>
  <si>
    <t>Nâng cấp đường dây từ 1 pha lên 3 pha</t>
  </si>
  <si>
    <t>Trụ 006 đến trụ 012 Nhánh rẽ Cơ sở gạch Trần Thị Thế</t>
  </si>
  <si>
    <t>Cắt FCO Nhánh rẽ Cơ sở gạch Trần Thị Thế</t>
  </si>
  <si>
    <t>Cắt FCO Nhánh rẽ Cơ sở gạch Trần Thị Thế
Tiếp địa tại trụ 006 Nhánh rẽ Cơ sở gạch Trần Thị Thế</t>
  </si>
  <si>
    <t>Nhánh rẽ Trảng Táo</t>
  </si>
  <si>
    <t>Ghép trụ 085 nhánh rẽ Trảng Táo</t>
  </si>
  <si>
    <t>Trụ 085 nhánh rẽ Trảng Táo</t>
  </si>
  <si>
    <t>Kết hợp Cắt MC 479 Gia Ui
Cắt Recloser Mũi Tàu
Cắt Recloser ESG Đạt</t>
  </si>
  <si>
    <t>Tiếp địa trụ 078 nhánh rẽ Trảng Táo</t>
  </si>
  <si>
    <t>Nhánh rẽ An Phát Tiến</t>
  </si>
  <si>
    <t>Trụ 009 đến trụ 033A Nhánh rẽ An Phát Tiến</t>
  </si>
  <si>
    <t>Tiếp địa trụ trung thế trụ 3xFCO Nhánh rẽ An Phát Tiến</t>
  </si>
  <si>
    <t>02/12/2020</t>
  </si>
  <si>
    <t>DonVi</t>
  </si>
  <si>
    <t>Điện lực Long Khánh</t>
  </si>
  <si>
    <t>Điện lực Xuân Lộc</t>
  </si>
  <si>
    <t>Nhánh rẽ Hoàng Thi Xuân Hương</t>
  </si>
  <si>
    <t>Trồng trụ đôn lưới và đấu nối đường dây XDM</t>
  </si>
  <si>
    <t>Tại khoảng trụ 021-022 nhánh rẽ Hoàng Thi Xuân Hương</t>
  </si>
  <si>
    <t>3xFCO  nhánh rẽ Hoàng Thi Xuân Hương
3xFCO  nhánh rẽ Vi Solar
Tiếp địa trung thế 021 nhánh rẽ Hoàng Thi Xuân Hương</t>
  </si>
  <si>
    <t>Tiếp địa trung thế 022 nhánh rẽ Hoàng Thi Xuân Hương</t>
  </si>
  <si>
    <t>Nhánh rẽ Tân Hữu</t>
  </si>
  <si>
    <t>Đấu nối đường dây XDM</t>
  </si>
  <si>
    <t>Trụ 044A Nhánh rẽ Tân Hữu</t>
  </si>
  <si>
    <t>Cắt LBS khí Xuân Thành + 3 LTD</t>
  </si>
  <si>
    <t>Cắt LBS khí Xuân Thành + 3 LTD
Tiếp địa trung thế 042 Nhánh rẽ Tân Hữu</t>
  </si>
  <si>
    <t>Tiếp địa hạ thế TBA Tân Hữu 2
Tiếp địa trung thế 044, 045 Nhánh rẽ Tân Hữu</t>
  </si>
  <si>
    <t>473 Xuân Trường</t>
  </si>
  <si>
    <t>Từ Trụ 145 đến trụ 146 tuyến 473 Xuân Trường</t>
  </si>
  <si>
    <t>Tiếp địa trung thế 145, 146 tuyến 473 Xuân Trường
Tiếp địa hạ thế TBA Xuân Thành 4</t>
  </si>
  <si>
    <t>Nhánh rẽ Công ty Kim Ngọc Phan</t>
  </si>
  <si>
    <t>Cắt LBS khí Xuân Thành + 3 LTD
Tiếp địa trung thế 092 tuyến 473 Xuân Trường</t>
  </si>
  <si>
    <t>Tại Trụ 066 Nhánh rẽ Công ty Kim Ngọc Phan</t>
  </si>
  <si>
    <t>Tiếp địa trụ trung thế trụ Tại Trụ 053, 071 Nhánh rẽ Công ty Kim Ngọc Phan</t>
  </si>
  <si>
    <t>Nhánh rẽ Tam Hiệp 6, 7</t>
  </si>
  <si>
    <t>Cắt 3xFCO Nhánh rẽ Tam Hiệp 6, 7
Tiếp địa trung thế tại trụ 003 Nhánh rẽ Tam Hiệp 6, 7</t>
  </si>
  <si>
    <t>Tiếp địa trung thế tại trụ 045, 060, 068 Nhánh rẽ Tam Hiệp 6, 7
Tiếp địa hạ thế tại trụ TBA Tam Hiệp 6, Tam Hiệp 7</t>
  </si>
  <si>
    <t>Nhánh rẽ Bùi Đình Đức</t>
  </si>
  <si>
    <t>Thay 03 FCO trụ 001 bằng 03 LTD và lắp đặt 03FCO tại trụ 019A, trồng trụ đôn lưới</t>
  </si>
  <si>
    <t>Tại trụ 001 và trụ 019A Nhánh rẽ Bùi Đình Đức</t>
  </si>
  <si>
    <t>Cắt 3xFCO Nhánh rẽ Xuân Phú 9, 10
Tiếp địa trung thế tại trụ 014 Nhánh rẽ Xuân Phú 9, 10</t>
  </si>
  <si>
    <t>Tiếp địa trung thế tại trụ 005 Nhánh rẽ Xuân Phú 9A
Tiếp địa trung thế tại trụ 002, 019, 022 Nhánh rẽ Bùi Đình Đức
Tiếp địa trung thế tại trụ 038 Nhánh rẽ Vũ Tuấn Anh</t>
  </si>
  <si>
    <t>Nhánh rẽ Bàu Sình 4, 5</t>
  </si>
  <si>
    <t>Từ trụ 024 đến trụ 024A Nhánh rẽ Bàu Sình 4, 5</t>
  </si>
  <si>
    <t>Cắt 3xFCO Nhánh rẽ Bàu Sình 4, 5
Tiếp địa trung thế tại trụ 002 Nhánh rẽ Bàu Sình 4, 5</t>
  </si>
  <si>
    <t>Tiếp địa trung thế tại trụ 011, 027 Nhánh rẽ Bàu Sình 4, 5
Tiếp địa trung thế tại trụ 002 024 Nhánh rẽ Công ty Nam Việt Hoàng
Tiếp địa trung thế tại trụ 036A/001 Nhánh rẽ Công ty Green ECO</t>
  </si>
  <si>
    <t>Nhánh rẽ Bàu Sình 6</t>
  </si>
  <si>
    <t>Tại trụ 010 nhánh rẽ Bàu Sình 6</t>
  </si>
  <si>
    <t>Tiếp địa trung thế tại trụ 037/001, 037/024 Nhánh rẽ Bàu Sình 6
Tiếp địa hạ thế tại trụ TBA Bàu Sình 5A, Bàu Sình 6</t>
  </si>
  <si>
    <t>Nhánh rẽ Trang Trại Nguyễn Đăng Nam</t>
  </si>
  <si>
    <t>Tại trụ 001 Nhánh rẽ Trang Trại Nguyễn Đăng Nam</t>
  </si>
  <si>
    <t>Cắt ACB và  3xFCO TBA Trang Trại Nguyễn Đăng Nam
Cắt 3xFCO Nhánh rẽ Trang Trại Nguyễn Đăng Nam</t>
  </si>
  <si>
    <t>Tiếp địa trung thế tại trụ 002 Nhánh rẽ Trang Trại Nguyễn Đăng Nam</t>
  </si>
  <si>
    <t>Điện lực Cẩm Mỹ</t>
  </si>
  <si>
    <t>Nhánh rẽ Láng Me 5B</t>
  </si>
  <si>
    <t>Khắc phục tồn tại công trình ĐTXD Nhánh rẽ Láng Me 5B, C</t>
  </si>
  <si>
    <t>Từ trụ 120 đến trụ 135 Nhánh rẽ Láng Me 5B</t>
  </si>
  <si>
    <t>Cắt 3xFCO Nhánh rẽ Láng Me 5 từ 7h30 đến 9g30.
Cắt 3xFCO Nhánh rẽ Láng Me 5B từ 9h30 đến 15g00.
Tiếp địa trung thế tại trụ 121
Tiếp địa hạ thế tại trụ TBA Nhánh rẽ Láng Me 5B</t>
  </si>
  <si>
    <t>Tiếp địa trung thế tại trụ 135</t>
  </si>
  <si>
    <t>Khắc phục tồn tại công trình ĐTXD Nhánh rẽ Láng Me 5B, 5C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</si>
</sst>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dd/mm"/>
  </numFmts>
  <fonts count="24">
    <font>
      <sz val="11"/>
      <color rgb="FF000000"/>
      <name val="Calibri"/>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VnBookman"/>
    </font>
    <font>
      <b/>
      <sz val="9"/>
      <name val="VnBookman"/>
    </font>
    <font>
      <sz val="13"/>
      <name val="Times New Roman"/>
      <family val="1"/>
    </font>
    <font>
      <sz val="13"/>
      <color theme="1"/>
      <name val="Times New Roman"/>
      <family val="2"/>
      <charset val="163"/>
    </font>
    <font>
      <sz val="13"/>
      <color theme="1"/>
      <name val="Times New Roman"/>
      <family val="2"/>
    </font>
    <font>
      <sz val="10"/>
      <color indexed="8"/>
      <name val="Arial"/>
      <family val="2"/>
    </font>
    <font>
      <b/>
      <sz val="11"/>
      <color rgb="FF000000"/>
      <name val="Calibri"/>
      <family val="2"/>
    </font>
    <font>
      <sz val="11"/>
      <color rgb="FF000000"/>
      <name val="Calibri"/>
      <family val="2"/>
    </font>
    <font>
      <b/>
      <sz val="11"/>
      <color rgb="FFFF0000"/>
      <name val="Calibri"/>
      <family val="2"/>
      <scheme val="minor"/>
    </font>
    <font>
      <sz val="11"/>
      <color rgb="FF0000CC"/>
      <name val="Calibri"/>
      <family val="2"/>
    </font>
    <font>
      <b/>
      <sz val="11"/>
      <color rgb="FF0000CC"/>
      <name val="Calibri"/>
      <family val="2"/>
    </font>
    <font>
      <b/>
      <sz val="12"/>
      <color rgb="FF000000"/>
      <name val="Times New Roman"/>
      <family val="1"/>
    </font>
    <font>
      <sz val="12"/>
      <color rgb="FF000000"/>
      <name val="Times New Roman"/>
      <family val="1"/>
    </font>
    <font>
      <b/>
      <sz val="13"/>
      <color theme="1"/>
      <name val="Times New Roman"/>
      <family val="1"/>
    </font>
    <font>
      <sz val="13"/>
      <color theme="1"/>
      <name val="Times New Roman"/>
      <family val="1"/>
    </font>
    <font>
      <sz val="13"/>
      <color rgb="FF000000"/>
      <name val="Times New Roman"/>
      <family val="1"/>
    </font>
    <font>
      <sz val="8"/>
      <name val="Calibri"/>
      <family val="2"/>
    </font>
    <font>
      <sz val="11"/>
      <name val="Calibri"/>
      <family val="2"/>
      <scheme val="minor"/>
    </font>
    <font>
      <b/>
      <sz val="11"/>
      <color rgb="FFFF0000"/>
      <name val="Calibri"/>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s>
  <cellStyleXfs count="30">
    <xf numFmtId="0" fontId="0" fillId="0" borderId="0"/>
    <xf numFmtId="164" fontId="4" fillId="0" borderId="0" applyFont="0" applyFill="0" applyBorder="0" applyAlignment="0" applyProtection="0"/>
    <xf numFmtId="0" fontId="5" fillId="2" borderId="2" applyNumberFormat="0" applyBorder="0"/>
    <xf numFmtId="165" fontId="6" fillId="1" borderId="3" applyNumberFormat="0" applyBorder="0" applyAlignment="0">
      <alignment horizontal="centerContinuous"/>
    </xf>
    <xf numFmtId="0" fontId="7" fillId="0" borderId="0"/>
    <xf numFmtId="0" fontId="8" fillId="0" borderId="0"/>
    <xf numFmtId="0" fontId="2" fillId="0" borderId="0"/>
    <xf numFmtId="0" fontId="4" fillId="0" borderId="0"/>
    <xf numFmtId="0" fontId="4" fillId="0" borderId="0">
      <alignment vertical="top"/>
    </xf>
    <xf numFmtId="0" fontId="9" fillId="0" borderId="0"/>
    <xf numFmtId="0" fontId="2" fillId="0" borderId="0"/>
    <xf numFmtId="0" fontId="9" fillId="0" borderId="0"/>
    <xf numFmtId="0" fontId="9" fillId="0" borderId="0"/>
    <xf numFmtId="0" fontId="2" fillId="0" borderId="0"/>
    <xf numFmtId="0" fontId="8" fillId="0" borderId="0"/>
    <xf numFmtId="0" fontId="2" fillId="0" borderId="0"/>
    <xf numFmtId="9" fontId="4" fillId="0" borderId="0" quotePrefix="1" applyFont="0" applyFill="0" applyBorder="0" applyAlignment="0">
      <protection locked="0"/>
    </xf>
    <xf numFmtId="0" fontId="10" fillId="0" borderId="0">
      <alignment vertical="top"/>
    </xf>
    <xf numFmtId="0" fontId="7" fillId="0" borderId="1">
      <alignment horizontal="center" vertical="center"/>
    </xf>
    <xf numFmtId="164" fontId="2"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12"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164" fontId="12" fillId="0" borderId="0" applyFont="0" applyFill="0" applyBorder="0" applyAlignment="0" applyProtection="0"/>
  </cellStyleXfs>
  <cellXfs count="65">
    <xf numFmtId="0" fontId="0" fillId="0" borderId="0" xfId="0"/>
    <xf numFmtId="0" fontId="3" fillId="0" borderId="0" xfId="6" applyFont="1" applyAlignment="1">
      <alignment horizontal="center" vertical="center" wrapText="1"/>
    </xf>
    <xf numFmtId="0" fontId="2" fillId="0" borderId="0" xfId="6" applyAlignment="1">
      <alignment vertical="center" wrapText="1"/>
    </xf>
    <xf numFmtId="0" fontId="2" fillId="0" borderId="0" xfId="6"/>
    <xf numFmtId="0" fontId="2" fillId="0" borderId="0" xfId="6" applyAlignment="1">
      <alignment horizontal="center" vertical="center" wrapText="1"/>
    </xf>
    <xf numFmtId="0" fontId="13" fillId="0" borderId="0" xfId="6" applyFont="1" applyAlignment="1">
      <alignment horizontal="center" vertical="center" wrapText="1"/>
    </xf>
    <xf numFmtId="0" fontId="12" fillId="0" borderId="0" xfId="0" applyFont="1"/>
    <xf numFmtId="0" fontId="14" fillId="0" borderId="0" xfId="0" applyFont="1" applyAlignment="1">
      <alignment horizontal="center"/>
    </xf>
    <xf numFmtId="0" fontId="15" fillId="0" borderId="0" xfId="0" applyFont="1" applyAlignment="1">
      <alignment horizontal="center" vertical="center"/>
    </xf>
    <xf numFmtId="0" fontId="11" fillId="0" borderId="0" xfId="0" applyFont="1" applyAlignment="1">
      <alignment horizontal="center" vertical="center"/>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0" xfId="0" applyFont="1" applyAlignment="1">
      <alignment vertical="center" wrapText="1"/>
    </xf>
    <xf numFmtId="0" fontId="19" fillId="0" borderId="1" xfId="0" applyFont="1" applyBorder="1" applyAlignment="1">
      <alignment horizontal="center" vertical="center"/>
    </xf>
    <xf numFmtId="0" fontId="19" fillId="0" borderId="1" xfId="0" applyFont="1" applyBorder="1" applyAlignment="1">
      <alignment horizontal="left" vertical="center"/>
    </xf>
    <xf numFmtId="166" fontId="19" fillId="0" borderId="1" xfId="0" applyNumberFormat="1" applyFont="1" applyBorder="1" applyAlignment="1">
      <alignment horizontal="center" vertical="center"/>
    </xf>
    <xf numFmtId="0" fontId="19" fillId="0" borderId="1" xfId="0" applyFont="1" applyBorder="1"/>
    <xf numFmtId="0" fontId="17" fillId="0" borderId="1" xfId="0" applyFont="1" applyBorder="1" applyAlignment="1">
      <alignment vertical="center"/>
    </xf>
    <xf numFmtId="0" fontId="16" fillId="0" borderId="1" xfId="0" applyFont="1" applyBorder="1" applyAlignment="1">
      <alignment horizontal="center" vertical="center"/>
    </xf>
    <xf numFmtId="0" fontId="17" fillId="0" borderId="0" xfId="0" applyFont="1" applyAlignment="1">
      <alignment vertical="center"/>
    </xf>
    <xf numFmtId="0" fontId="17" fillId="0" borderId="0" xfId="0" applyFont="1" applyAlignment="1">
      <alignment horizontal="center" vertical="center" wrapText="1"/>
    </xf>
    <xf numFmtId="16" fontId="0" fillId="0" borderId="0" xfId="0" applyNumberFormat="1"/>
    <xf numFmtId="0" fontId="12" fillId="0" borderId="0" xfId="0" applyFont="1" applyAlignment="1">
      <alignment wrapText="1"/>
    </xf>
    <xf numFmtId="0" fontId="14" fillId="0" borderId="0" xfId="0" applyFont="1" applyAlignment="1"/>
    <xf numFmtId="0" fontId="14" fillId="0" borderId="0" xfId="0" applyFont="1"/>
    <xf numFmtId="0" fontId="22" fillId="0" borderId="0" xfId="6" applyFont="1" applyAlignment="1">
      <alignment horizontal="center" vertical="center" wrapText="1"/>
    </xf>
    <xf numFmtId="0" fontId="16" fillId="0" borderId="0" xfId="0" applyFont="1" applyAlignment="1">
      <alignment horizontal="center" vertical="center"/>
    </xf>
    <xf numFmtId="0" fontId="20" fillId="0" borderId="0" xfId="0" applyFont="1" applyAlignment="1"/>
    <xf numFmtId="0" fontId="17" fillId="0" borderId="0" xfId="0" quotePrefix="1" applyFont="1" applyAlignment="1">
      <alignment vertical="center"/>
    </xf>
    <xf numFmtId="166" fontId="16" fillId="0" borderId="1" xfId="0" applyNumberFormat="1" applyFont="1" applyBorder="1" applyAlignment="1">
      <alignment horizontal="center" vertical="center" wrapText="1"/>
    </xf>
    <xf numFmtId="166" fontId="17" fillId="0" borderId="1" xfId="0" applyNumberFormat="1" applyFont="1" applyBorder="1" applyAlignment="1">
      <alignment horizontal="center" vertical="center"/>
    </xf>
    <xf numFmtId="166" fontId="17" fillId="0" borderId="0" xfId="0" applyNumberFormat="1" applyFont="1" applyAlignment="1">
      <alignment vertical="center" wrapText="1"/>
    </xf>
    <xf numFmtId="16" fontId="14" fillId="0" borderId="0" xfId="0" applyNumberFormat="1" applyFont="1"/>
    <xf numFmtId="14" fontId="14" fillId="0" borderId="0" xfId="0" applyNumberFormat="1" applyFont="1"/>
    <xf numFmtId="0" fontId="11" fillId="0" borderId="0" xfId="0" applyFont="1" applyAlignment="1">
      <alignment horizontal="center" vertical="center" wrapText="1"/>
    </xf>
    <xf numFmtId="0" fontId="15" fillId="0" borderId="0" xfId="0" applyFont="1" applyAlignment="1">
      <alignment horizontal="center" vertical="center" wrapText="1"/>
    </xf>
    <xf numFmtId="14" fontId="15" fillId="0" borderId="0" xfId="0" applyNumberFormat="1" applyFont="1" applyAlignment="1">
      <alignment horizontal="center" vertical="center" wrapText="1"/>
    </xf>
    <xf numFmtId="0" fontId="18" fillId="0" borderId="1" xfId="0" applyFont="1" applyBorder="1" applyAlignment="1">
      <alignment horizontal="center" vertical="center" wrapText="1"/>
    </xf>
    <xf numFmtId="0" fontId="0" fillId="3" borderId="0" xfId="0" applyFill="1" applyAlignment="1">
      <alignment horizontal="center" vertical="center" wrapText="1"/>
    </xf>
    <xf numFmtId="0" fontId="12" fillId="0" borderId="0" xfId="0" applyFont="1" applyAlignment="1">
      <alignment horizontal="center" vertical="center" wrapText="1"/>
    </xf>
    <xf numFmtId="0" fontId="0" fillId="0" borderId="0" xfId="0" applyAlignment="1">
      <alignment horizontal="center" vertical="center" wrapText="1"/>
    </xf>
    <xf numFmtId="0" fontId="19" fillId="0" borderId="1" xfId="0" applyFont="1" applyBorder="1" applyAlignment="1">
      <alignment horizontal="center"/>
    </xf>
    <xf numFmtId="14" fontId="0" fillId="0" borderId="0" xfId="0" applyNumberFormat="1"/>
    <xf numFmtId="0" fontId="0" fillId="0" borderId="0" xfId="0" applyAlignment="1">
      <alignment wrapText="1"/>
    </xf>
    <xf numFmtId="0" fontId="23" fillId="0" borderId="0" xfId="0" applyFont="1" applyAlignment="1">
      <alignment horizontal="center"/>
    </xf>
    <xf numFmtId="0" fontId="12" fillId="0" borderId="0" xfId="0" applyFont="1" applyAlignment="1"/>
    <xf numFmtId="0" fontId="0" fillId="0" borderId="0" xfId="0" applyAlignment="1"/>
    <xf numFmtId="14" fontId="11" fillId="0" borderId="0" xfId="0" applyNumberFormat="1" applyFont="1" applyAlignment="1">
      <alignment horizontal="center" vertical="center" wrapText="1"/>
    </xf>
    <xf numFmtId="0" fontId="12" fillId="0" borderId="0" xfId="0" applyFont="1" applyAlignment="1">
      <alignment horizontal="center" vertical="center"/>
    </xf>
    <xf numFmtId="0" fontId="14" fillId="0" borderId="0" xfId="0" applyFont="1" applyAlignment="1">
      <alignment horizontal="center" vertical="center" wrapText="1"/>
    </xf>
    <xf numFmtId="14" fontId="12" fillId="0" borderId="0" xfId="0" applyNumberFormat="1" applyFont="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vertical="center"/>
    </xf>
    <xf numFmtId="0" fontId="12" fillId="0" borderId="0" xfId="0" applyFont="1" applyAlignment="1">
      <alignment vertical="center" wrapText="1"/>
    </xf>
    <xf numFmtId="14" fontId="12" fillId="0" borderId="0" xfId="0" quotePrefix="1" applyNumberFormat="1" applyFont="1" applyAlignment="1">
      <alignment horizontal="center" vertical="center" wrapText="1"/>
    </xf>
    <xf numFmtId="16" fontId="12" fillId="0" borderId="0" xfId="0" applyNumberFormat="1" applyFont="1" applyAlignment="1">
      <alignment horizontal="center" vertical="center" wrapText="1"/>
    </xf>
    <xf numFmtId="0" fontId="11" fillId="0" borderId="0" xfId="0" applyFont="1" applyAlignment="1">
      <alignment horizontal="left" vertical="center" wrapText="1"/>
    </xf>
    <xf numFmtId="0" fontId="12" fillId="0" borderId="0" xfId="0" applyFont="1" applyAlignment="1">
      <alignment horizontal="left"/>
    </xf>
    <xf numFmtId="0" fontId="0" fillId="0" borderId="0" xfId="0" applyAlignment="1">
      <alignment horizontal="left"/>
    </xf>
    <xf numFmtId="0" fontId="0" fillId="0" borderId="0" xfId="0" applyAlignment="1">
      <alignment horizontal="left" wrapText="1"/>
    </xf>
    <xf numFmtId="14" fontId="12" fillId="0" borderId="0" xfId="0" quotePrefix="1" applyNumberFormat="1" applyFont="1"/>
    <xf numFmtId="0" fontId="14" fillId="0" borderId="0" xfId="0" applyFont="1" applyAlignment="1">
      <alignment horizontal="left" wrapText="1"/>
    </xf>
    <xf numFmtId="0" fontId="12" fillId="0" borderId="0" xfId="0" applyFont="1" applyAlignment="1">
      <alignment horizontal="left" wrapText="1"/>
    </xf>
  </cellXfs>
  <cellStyles count="30">
    <cellStyle name="Comma 2" xfId="1" xr:uid="{00000000-0005-0000-0000-000000000000}"/>
    <cellStyle name="Comma 2 2" xfId="20" xr:uid="{00000000-0005-0000-0000-000001000000}"/>
    <cellStyle name="Comma 3" xfId="19" xr:uid="{00000000-0005-0000-0000-000002000000}"/>
    <cellStyle name="Comma 3 2" xfId="28" xr:uid="{00000000-0005-0000-0000-000003000000}"/>
    <cellStyle name="Comma 4" xfId="21" xr:uid="{00000000-0005-0000-0000-000004000000}"/>
    <cellStyle name="Comma 5" xfId="29" xr:uid="{00000000-0005-0000-0000-000005000000}"/>
    <cellStyle name="DUNG" xfId="2" xr:uid="{00000000-0005-0000-0000-000006000000}"/>
    <cellStyle name="LIEM" xfId="3" xr:uid="{00000000-0005-0000-0000-000007000000}"/>
    <cellStyle name="Normal" xfId="0" builtinId="0"/>
    <cellStyle name="Normal 2" xfId="4" xr:uid="{00000000-0005-0000-0000-000009000000}"/>
    <cellStyle name="Normal 2 2" xfId="5" xr:uid="{00000000-0005-0000-0000-00000A000000}"/>
    <cellStyle name="Normal 2 3" xfId="6" xr:uid="{00000000-0005-0000-0000-00000B000000}"/>
    <cellStyle name="Normal 2 3 2" xfId="24" xr:uid="{00000000-0005-0000-0000-00000C000000}"/>
    <cellStyle name="Normal 3" xfId="7" xr:uid="{00000000-0005-0000-0000-00000D000000}"/>
    <cellStyle name="Normal 3 2" xfId="22" xr:uid="{00000000-0005-0000-0000-00000E000000}"/>
    <cellStyle name="Normal 4" xfId="8" xr:uid="{00000000-0005-0000-0000-00000F000000}"/>
    <cellStyle name="Normal 4 2" xfId="9" xr:uid="{00000000-0005-0000-0000-000010000000}"/>
    <cellStyle name="Normal 4 3" xfId="10" xr:uid="{00000000-0005-0000-0000-000011000000}"/>
    <cellStyle name="Normal 4 3 2" xfId="25" xr:uid="{00000000-0005-0000-0000-000012000000}"/>
    <cellStyle name="Normal 5" xfId="11" xr:uid="{00000000-0005-0000-0000-000013000000}"/>
    <cellStyle name="Normal 6" xfId="12" xr:uid="{00000000-0005-0000-0000-000014000000}"/>
    <cellStyle name="Normal 6 2" xfId="13" xr:uid="{00000000-0005-0000-0000-000015000000}"/>
    <cellStyle name="Normal 6 2 2" xfId="26" xr:uid="{00000000-0005-0000-0000-000016000000}"/>
    <cellStyle name="Normal 7" xfId="14" xr:uid="{00000000-0005-0000-0000-000017000000}"/>
    <cellStyle name="Normal 8" xfId="23" xr:uid="{00000000-0005-0000-0000-000018000000}"/>
    <cellStyle name="Normal 9" xfId="15" xr:uid="{00000000-0005-0000-0000-000019000000}"/>
    <cellStyle name="Normal 9 2" xfId="27" xr:uid="{00000000-0005-0000-0000-00001A000000}"/>
    <cellStyle name="Percent 2" xfId="16" xr:uid="{00000000-0005-0000-0000-00001B000000}"/>
    <cellStyle name="Style 1" xfId="17" xr:uid="{00000000-0005-0000-0000-00001C000000}"/>
    <cellStyle name="THUC" xfId="18" xr:uid="{00000000-0005-0000-0000-00001D000000}"/>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
  <sheetViews>
    <sheetView topLeftCell="E1" zoomScaleNormal="100" workbookViewId="0">
      <selection activeCell="J5" sqref="J5"/>
    </sheetView>
  </sheetViews>
  <sheetFormatPr defaultColWidth="4.88671875" defaultRowHeight="24.9" customHeight="1" outlineLevelCol="1"/>
  <cols>
    <col min="1" max="1" width="8.6640625" style="7" customWidth="1"/>
    <col min="2" max="2" width="98.88671875" bestFit="1" customWidth="1"/>
    <col min="3" max="3" width="26.5546875" customWidth="1"/>
    <col min="4" max="4" width="17.5546875" customWidth="1"/>
    <col min="5" max="5" width="14.5546875" style="26" customWidth="1"/>
    <col min="6" max="6" width="22.44140625" customWidth="1"/>
    <col min="7" max="7" width="25.5546875" customWidth="1"/>
    <col min="8" max="8" width="16.6640625" customWidth="1"/>
    <col min="9" max="9" width="17" customWidth="1"/>
    <col min="10" max="10" width="15.44140625" customWidth="1"/>
    <col min="11" max="11" width="20" customWidth="1"/>
    <col min="12" max="12" width="23" customWidth="1"/>
    <col min="13" max="13" width="17.33203125" bestFit="1" customWidth="1"/>
    <col min="14" max="14" width="12.6640625" customWidth="1"/>
    <col min="15" max="15" width="22" bestFit="1" customWidth="1"/>
    <col min="16" max="16" width="25.33203125" customWidth="1"/>
    <col min="17" max="17" width="26.6640625" customWidth="1"/>
    <col min="18" max="18" width="14.5546875" customWidth="1" outlineLevel="1"/>
    <col min="19" max="21" width="8.6640625" customWidth="1" outlineLevel="1"/>
    <col min="22" max="32" width="8.6640625" customWidth="1"/>
  </cols>
  <sheetData>
    <row r="1" spans="1:25" s="9" customFormat="1" ht="24.9" customHeight="1">
      <c r="A1" s="8">
        <f>ROW()</f>
        <v>1</v>
      </c>
      <c r="B1" s="9" t="s">
        <v>1</v>
      </c>
      <c r="C1" s="9" t="s">
        <v>2</v>
      </c>
      <c r="D1" s="9" t="s">
        <v>3</v>
      </c>
      <c r="E1" s="8" t="s">
        <v>4</v>
      </c>
      <c r="F1" s="9" t="s">
        <v>5</v>
      </c>
      <c r="G1" s="9" t="s">
        <v>6</v>
      </c>
      <c r="H1" s="9" t="s">
        <v>10</v>
      </c>
      <c r="I1" s="9" t="s">
        <v>12</v>
      </c>
      <c r="J1" s="9" t="s">
        <v>13</v>
      </c>
      <c r="K1" s="9" t="s">
        <v>14</v>
      </c>
      <c r="L1" s="9" t="s">
        <v>88</v>
      </c>
      <c r="M1" s="9" t="s">
        <v>89</v>
      </c>
      <c r="N1" s="9" t="s">
        <v>90</v>
      </c>
      <c r="O1" s="9" t="s">
        <v>91</v>
      </c>
      <c r="P1" s="9" t="s">
        <v>100</v>
      </c>
      <c r="Q1" s="9" t="s">
        <v>101</v>
      </c>
      <c r="R1" s="9" t="s">
        <v>95</v>
      </c>
      <c r="S1" s="9" t="s">
        <v>96</v>
      </c>
      <c r="T1" s="9" t="s">
        <v>97</v>
      </c>
      <c r="U1" s="9" t="s">
        <v>98</v>
      </c>
      <c r="V1" s="9" t="s">
        <v>103</v>
      </c>
      <c r="W1" s="9" t="s">
        <v>104</v>
      </c>
      <c r="X1" s="9" t="s">
        <v>105</v>
      </c>
      <c r="Y1" s="9" t="s">
        <v>126</v>
      </c>
    </row>
    <row r="2" spans="1:25" s="9" customFormat="1" ht="24.9" customHeight="1">
      <c r="A2" s="8"/>
      <c r="E2" s="8"/>
    </row>
    <row r="3" spans="1:25" ht="24.9" customHeight="1">
      <c r="A3" s="7">
        <f>ROW()</f>
        <v>3</v>
      </c>
      <c r="B3" s="6"/>
      <c r="D3" s="23"/>
      <c r="E3" s="34">
        <f>D3</f>
        <v>0</v>
      </c>
      <c r="G3" s="6"/>
      <c r="I3" s="24"/>
      <c r="J3" s="6"/>
      <c r="K3" s="24" t="s">
        <v>107</v>
      </c>
      <c r="L3" s="6" t="s">
        <v>94</v>
      </c>
      <c r="M3" s="24" t="s">
        <v>93</v>
      </c>
      <c r="N3" s="24" t="s">
        <v>106</v>
      </c>
      <c r="O3" s="6" t="s">
        <v>92</v>
      </c>
      <c r="P3" s="25" t="str">
        <f t="array" ref="P3">"Đơn vị công tác 1: Thực hiện công tác theo PCT/LCT............. Nội dung công việc: thực hiện trong phạm vi "&amp;_xlfn.TEXTJOIN(CHAR(10),TRUE,R3:U3)</f>
        <v xml:space="preserve">Đơn vị công tác 1: Thực hiện công tác theo PCT/LCT............. Nội dung công việc: thực hiện trong phạm vi từ trụ 03/01 đến trụ 03/11 </v>
      </c>
      <c r="Q3" s="25" t="str">
        <f t="array" ref="Q3">_xlfn.TEXTJOIN(CHAR(10),TRUE,V3:X3)</f>
        <v>Không</v>
      </c>
      <c r="R3" s="6" t="s">
        <v>99</v>
      </c>
      <c r="V3" s="6" t="s">
        <v>102</v>
      </c>
      <c r="W3" s="6"/>
      <c r="Y3" s="24" t="s">
        <v>128</v>
      </c>
    </row>
    <row r="4" spans="1:25" ht="24.9" customHeight="1">
      <c r="A4" s="7">
        <f>ROW()</f>
        <v>4</v>
      </c>
      <c r="B4" s="6" t="s">
        <v>7</v>
      </c>
      <c r="C4" t="s">
        <v>9</v>
      </c>
      <c r="D4" s="23">
        <v>44073</v>
      </c>
      <c r="E4" s="34">
        <f>D4</f>
        <v>44073</v>
      </c>
      <c r="F4" t="s">
        <v>8</v>
      </c>
      <c r="G4" s="6" t="s">
        <v>85</v>
      </c>
      <c r="H4" t="s">
        <v>11</v>
      </c>
      <c r="I4" s="24" t="s">
        <v>87</v>
      </c>
      <c r="J4" s="6" t="s">
        <v>177</v>
      </c>
      <c r="K4" s="24" t="s">
        <v>107</v>
      </c>
      <c r="L4" s="6" t="s">
        <v>94</v>
      </c>
      <c r="M4" s="24" t="s">
        <v>93</v>
      </c>
      <c r="N4" s="24" t="s">
        <v>106</v>
      </c>
      <c r="O4" s="6" t="s">
        <v>92</v>
      </c>
      <c r="P4" s="25" t="str">
        <f t="array" ref="P4">"Đơn vị công tác 1: Thực hiện công tác theo PCT/LCT............. Nội dung công việc: thực hiện trong phạm vi "&amp;_xlfn.TEXTJOIN(CHAR(10),TRUE,R4:U4)</f>
        <v xml:space="preserve">Đơn vị công tác 1: Thực hiện công tác theo PCT/LCT............. Nội dung công việc: thực hiện trong phạm vi từ trụ 03/01 đến trụ 03/11 </v>
      </c>
      <c r="Q4" s="25" t="str">
        <f t="array" ref="Q4">_xlfn.TEXTJOIN(CHAR(10),TRUE,V4:X4)</f>
        <v>Không</v>
      </c>
      <c r="R4" s="6" t="s">
        <v>99</v>
      </c>
      <c r="V4" s="6" t="s">
        <v>102</v>
      </c>
      <c r="W4" s="6"/>
      <c r="Y4" s="24" t="s">
        <v>128</v>
      </c>
    </row>
    <row r="5" spans="1:25" ht="24.6" customHeight="1">
      <c r="A5" s="7">
        <f>ROW()</f>
        <v>5</v>
      </c>
      <c r="B5" s="6" t="s">
        <v>108</v>
      </c>
      <c r="C5" s="6" t="s">
        <v>109</v>
      </c>
      <c r="D5" s="23">
        <v>44077</v>
      </c>
      <c r="E5" s="34">
        <f>D5</f>
        <v>44077</v>
      </c>
      <c r="F5" s="6" t="s">
        <v>110</v>
      </c>
      <c r="G5" s="24" t="s">
        <v>112</v>
      </c>
      <c r="H5" t="s">
        <v>11</v>
      </c>
      <c r="I5" s="24" t="s">
        <v>87</v>
      </c>
      <c r="J5" s="6" t="s">
        <v>86</v>
      </c>
      <c r="K5" s="24" t="s">
        <v>107</v>
      </c>
      <c r="L5" s="6" t="s">
        <v>113</v>
      </c>
      <c r="M5" s="24" t="s">
        <v>114</v>
      </c>
      <c r="N5" s="24" t="s">
        <v>106</v>
      </c>
      <c r="O5" s="6" t="s">
        <v>92</v>
      </c>
      <c r="P5" s="26" t="str">
        <f t="array" ref="P5">_xlfn.TEXTJOIN(CHAR(10),TRUE,R5:U5)</f>
        <v>từ trụ 001A đến trụ 012 lưới hạ thế trạm Xuân Bắc 6A, 6C thuộc nhánh rẽ Thọ Vực
từ trụ 001A đến trụ 054 thuộc nhánh rẽ Thọ Vực
từ trụ 054 đến trụ 055 và trụ 054/001 thuộc nhánh rẽ Thọ Vực</v>
      </c>
      <c r="Q5" s="25" t="str">
        <f t="array" ref="Q5">_xlfn.TEXTJOIN(CHAR(10),TRUE,V5:X5)</f>
        <v>Không</v>
      </c>
      <c r="R5" s="6" t="s">
        <v>115</v>
      </c>
      <c r="S5" s="6" t="s">
        <v>116</v>
      </c>
      <c r="T5" s="6" t="s">
        <v>117</v>
      </c>
      <c r="V5" s="6" t="s">
        <v>102</v>
      </c>
      <c r="W5" s="6"/>
      <c r="Y5" s="24" t="s">
        <v>127</v>
      </c>
    </row>
    <row r="6" spans="1:25" ht="24.9" customHeight="1">
      <c r="A6" s="7">
        <f>ROW()</f>
        <v>6</v>
      </c>
      <c r="B6" s="6" t="s">
        <v>140</v>
      </c>
      <c r="C6" s="6" t="s">
        <v>141</v>
      </c>
      <c r="D6" s="23">
        <v>44079</v>
      </c>
      <c r="E6" s="34">
        <f t="shared" ref="E6:E9" si="0">D6</f>
        <v>44079</v>
      </c>
      <c r="F6" s="6" t="s">
        <v>145</v>
      </c>
    </row>
    <row r="7" spans="1:25" ht="24.9" customHeight="1">
      <c r="A7" s="7">
        <f>ROW()</f>
        <v>7</v>
      </c>
      <c r="B7" s="6" t="s">
        <v>140</v>
      </c>
      <c r="C7" t="s">
        <v>142</v>
      </c>
      <c r="D7" s="23">
        <v>44080</v>
      </c>
      <c r="E7" s="34">
        <f t="shared" si="0"/>
        <v>44080</v>
      </c>
    </row>
    <row r="8" spans="1:25" ht="24.9" customHeight="1">
      <c r="A8" s="7">
        <f>ROW()</f>
        <v>8</v>
      </c>
      <c r="B8" s="6" t="s">
        <v>140</v>
      </c>
      <c r="C8" t="s">
        <v>143</v>
      </c>
      <c r="D8" s="23">
        <v>44081</v>
      </c>
      <c r="E8" s="34">
        <f t="shared" si="0"/>
        <v>44081</v>
      </c>
    </row>
    <row r="9" spans="1:25" ht="24.9" customHeight="1">
      <c r="A9" s="7">
        <f>ROW()</f>
        <v>9</v>
      </c>
      <c r="B9" s="6" t="s">
        <v>140</v>
      </c>
      <c r="C9" t="s">
        <v>144</v>
      </c>
      <c r="D9" s="23">
        <v>44083</v>
      </c>
      <c r="E9" s="34">
        <f t="shared" si="0"/>
        <v>44083</v>
      </c>
    </row>
  </sheetData>
  <phoneticPr fontId="2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
  <sheetViews>
    <sheetView workbookViewId="0">
      <selection activeCell="D3" sqref="D3"/>
    </sheetView>
  </sheetViews>
  <sheetFormatPr defaultColWidth="8.88671875" defaultRowHeight="14.4"/>
  <cols>
    <col min="1" max="1" width="8.88671875" style="3"/>
    <col min="2" max="2" width="26.33203125" style="3" customWidth="1"/>
    <col min="3" max="3" width="11" style="3" customWidth="1"/>
    <col min="4" max="4" width="19.6640625" style="3" customWidth="1"/>
    <col min="5" max="5" width="34.44140625" style="3" customWidth="1"/>
    <col min="6" max="6" width="16.6640625" style="3" customWidth="1"/>
    <col min="7" max="7" width="36.109375" style="3" customWidth="1"/>
    <col min="8" max="8" width="13.33203125" style="3" customWidth="1"/>
    <col min="9" max="9" width="29.109375" style="3" customWidth="1"/>
    <col min="10" max="10" width="15.33203125" style="3" bestFit="1" customWidth="1"/>
    <col min="11" max="11" width="26.33203125" style="3" customWidth="1"/>
    <col min="12" max="12" width="16.6640625" style="3" customWidth="1"/>
    <col min="13" max="13" width="20.6640625" style="3" customWidth="1"/>
    <col min="14" max="14" width="8.88671875" style="3"/>
    <col min="15" max="15" width="13.6640625" style="3" customWidth="1"/>
    <col min="16" max="16384" width="8.88671875" style="3"/>
  </cols>
  <sheetData>
    <row r="1" spans="1:25" s="1" customFormat="1" ht="34.200000000000003" customHeight="1">
      <c r="A1" s="1">
        <f>ROW()</f>
        <v>1</v>
      </c>
      <c r="B1" s="1" t="str">
        <f t="shared" ref="B1:X1" si="0">VLOOKUP(ROW(),data,COLUMN(),0)</f>
        <v>CongTrinh</v>
      </c>
      <c r="C1" s="1" t="str">
        <f t="shared" si="0"/>
        <v>NoiDungCongTac</v>
      </c>
      <c r="D1" s="1" t="str">
        <f t="shared" si="0"/>
        <v>BatDau</v>
      </c>
      <c r="E1" s="1" t="str">
        <f t="shared" si="0"/>
        <v>KetThuc</v>
      </c>
      <c r="F1" s="1" t="str">
        <f t="shared" si="0"/>
        <v>DiaDiem</v>
      </c>
      <c r="G1" s="1" t="str">
        <f t="shared" si="0"/>
        <v>KhoiLuong</v>
      </c>
      <c r="H1" s="1" t="str">
        <f t="shared" si="0"/>
        <v>VatTu</v>
      </c>
      <c r="I1" s="1" t="str">
        <f t="shared" si="0"/>
        <v>DungCuAnToan</v>
      </c>
      <c r="J1" s="1" t="str">
        <f t="shared" si="0"/>
        <v>DuCuDoLuong</v>
      </c>
      <c r="K1" s="1" t="str">
        <f t="shared" si="0"/>
        <v>DungCuThiCong</v>
      </c>
      <c r="L1" s="1" t="str">
        <f t="shared" si="0"/>
        <v>ThietBiDongCat</v>
      </c>
      <c r="M1" s="1" t="str">
        <f t="shared" si="0"/>
        <v>ViTriTiepDia</v>
      </c>
      <c r="N1" s="1" t="str">
        <f t="shared" si="0"/>
        <v>BienBao</v>
      </c>
      <c r="O1" s="1" t="str">
        <f t="shared" si="0"/>
        <v>PhuongThucTruyenLenh</v>
      </c>
      <c r="P1" s="1" t="str">
        <f t="shared" si="0"/>
        <v>PhamVi</v>
      </c>
      <c r="Q1" s="1" t="str">
        <f t="shared" si="0"/>
        <v>GiayBanGiao</v>
      </c>
      <c r="R1" s="1" t="str">
        <f t="shared" si="0"/>
        <v>Đơn vị 1</v>
      </c>
      <c r="S1" s="1" t="str">
        <f t="shared" si="0"/>
        <v>Đơn vị 2</v>
      </c>
      <c r="T1" s="1" t="str">
        <f t="shared" si="0"/>
        <v>Đơn vị 3</v>
      </c>
      <c r="U1" s="1" t="str">
        <f t="shared" si="0"/>
        <v>Đơn vị 4</v>
      </c>
      <c r="V1" s="1" t="str">
        <f t="shared" si="0"/>
        <v>BanGiao1</v>
      </c>
      <c r="W1" s="1" t="str">
        <f t="shared" si="0"/>
        <v>BanGiao2</v>
      </c>
      <c r="X1" s="1" t="str">
        <f t="shared" si="0"/>
        <v>BanGiao3</v>
      </c>
    </row>
    <row r="2" spans="1:25" s="1" customFormat="1" ht="34.200000000000003" customHeight="1">
      <c r="B2" s="1" t="s">
        <v>111</v>
      </c>
      <c r="C2" s="1" t="s">
        <v>111</v>
      </c>
      <c r="D2" s="1" t="s">
        <v>111</v>
      </c>
      <c r="E2" s="1" t="s">
        <v>111</v>
      </c>
      <c r="F2" s="1" t="s">
        <v>111</v>
      </c>
      <c r="G2" s="1" t="s">
        <v>111</v>
      </c>
      <c r="H2" s="1" t="s">
        <v>111</v>
      </c>
      <c r="I2" s="1" t="s">
        <v>111</v>
      </c>
      <c r="J2" s="1" t="s">
        <v>111</v>
      </c>
      <c r="K2" s="1" t="s">
        <v>111</v>
      </c>
      <c r="L2" s="1" t="s">
        <v>111</v>
      </c>
      <c r="M2" s="1" t="s">
        <v>111</v>
      </c>
      <c r="N2" s="1" t="s">
        <v>111</v>
      </c>
      <c r="O2" s="1" t="s">
        <v>111</v>
      </c>
      <c r="P2" s="1" t="s">
        <v>111</v>
      </c>
      <c r="Q2" s="1" t="s">
        <v>111</v>
      </c>
      <c r="R2" s="1" t="s">
        <v>111</v>
      </c>
      <c r="S2" s="1" t="s">
        <v>111</v>
      </c>
      <c r="T2" s="1" t="s">
        <v>111</v>
      </c>
      <c r="U2" s="1" t="s">
        <v>111</v>
      </c>
      <c r="V2" s="1" t="s">
        <v>111</v>
      </c>
      <c r="W2" s="1" t="s">
        <v>111</v>
      </c>
      <c r="X2" s="1" t="s">
        <v>111</v>
      </c>
    </row>
    <row r="3" spans="1:25" s="27" customFormat="1" ht="54.6" customHeight="1">
      <c r="A3" s="27">
        <f>ROW()</f>
        <v>3</v>
      </c>
      <c r="B3" s="27">
        <f>VLOOKUP(ROW(),data,COLUMN(),0)</f>
        <v>0</v>
      </c>
      <c r="C3" s="27">
        <f>VLOOKUP(ROW(),data,COLUMN(),0)</f>
        <v>0</v>
      </c>
      <c r="D3" s="27" t="str">
        <f>" ngày "&amp;TEXT(VLOOKUP(ROW(),data,COLUMN(),0),"dd")&amp;" tháng "&amp;TEXT(VLOOKUP(ROW(),data,COLUMN(),0),"MM")&amp;" năm "&amp;TEXT(VLOOKUP(ROW(),data,COLUMN(),0),"yyyy")</f>
        <v xml:space="preserve"> ngày 00 tháng 01 năm 1900</v>
      </c>
      <c r="E3" s="27" t="str">
        <f>" ngày "&amp;TEXT(VLOOKUP(ROW(),data,COLUMN(),0),"dd")&amp;" tháng "&amp;TEXT(VLOOKUP(ROW(),data,COLUMN(),0),"MM")&amp;" năm "&amp;TEXT(VLOOKUP(ROW(),data,COLUMN(),0),"yyyy")</f>
        <v xml:space="preserve"> ngày 00 tháng 01 năm 1900</v>
      </c>
      <c r="F3" s="27">
        <f>VLOOKUP(ROW(),data,COLUMN(),0)</f>
        <v>0</v>
      </c>
      <c r="G3" s="27">
        <f>VLOOKUP(ROW(),data,COLUMN(),0)</f>
        <v>0</v>
      </c>
      <c r="H3" s="27" t="str">
        <f>TEXT(VLOOKUP(ROW(),data,COLUMN(),0),"#.##0")</f>
        <v>0</v>
      </c>
      <c r="I3" s="27">
        <f>VLOOKUP(ROW(),data,COLUMN(),0)</f>
        <v>0</v>
      </c>
      <c r="J3" s="27" t="str">
        <f t="shared" ref="J3:X4" si="1">TEXT(VLOOKUP(ROW(),data,COLUMN(),0),"dd/MM/yyyy")</f>
        <v>00/01/1900</v>
      </c>
      <c r="K3" s="27" t="str">
        <f t="shared" si="1"/>
        <v>Xe cẩu 5T: 02 xe.
Kích tăng dây: 4 cái.
Kìm ép thủy lực: 3 cái.
Puly: 6 cái.
Các dụng cụ khác như cle, mỏ lết, cuốc, xà beng …</v>
      </c>
      <c r="L3" s="27" t="str">
        <f t="shared" si="1"/>
        <v>FCO và MCCB TBA Minh Khai 1</v>
      </c>
      <c r="M3" s="27" t="str">
        <f t="shared" si="1"/>
        <v>Tại TBA Minh Khai 1</v>
      </c>
      <c r="N3" s="27" t="str">
        <f t="shared" si="1"/>
        <v>Đã tiếp địa, Cấm đóng điện</v>
      </c>
      <c r="O3" s="27" t="str">
        <f t="shared" si="1"/>
        <v>Trực tiếp</v>
      </c>
      <c r="P3" s="27" t="str">
        <f t="shared" si="1"/>
        <v xml:space="preserve">Đơn vị công tác 1: Thực hiện công tác theo PCT/LCT............. Nội dung công việc: thực hiện trong phạm vi từ trụ 03/01 đến trụ 03/11 </v>
      </c>
      <c r="Q3" s="27" t="str">
        <f t="shared" si="1"/>
        <v>Không</v>
      </c>
      <c r="R3" s="27" t="str">
        <f t="shared" si="1"/>
        <v xml:space="preserve">từ trụ 03/01 đến trụ 03/11 </v>
      </c>
      <c r="S3" s="27" t="str">
        <f t="shared" si="1"/>
        <v>00/01/1900</v>
      </c>
      <c r="T3" s="27" t="str">
        <f t="shared" si="1"/>
        <v>00/01/1900</v>
      </c>
      <c r="U3" s="27" t="str">
        <f t="shared" si="1"/>
        <v>00/01/1900</v>
      </c>
      <c r="V3" s="27" t="str">
        <f t="shared" si="1"/>
        <v>Không</v>
      </c>
      <c r="W3" s="27" t="str">
        <f t="shared" si="1"/>
        <v>00/01/1900</v>
      </c>
      <c r="X3" s="27" t="str">
        <f t="shared" si="1"/>
        <v>00/01/1900</v>
      </c>
    </row>
    <row r="4" spans="1:25" s="27" customFormat="1" ht="54.6" customHeight="1">
      <c r="A4" s="27">
        <f>ROW()</f>
        <v>4</v>
      </c>
      <c r="B4" s="27" t="str">
        <f>VLOOKUP(ROW(),data,COLUMN(),0)</f>
        <v>Di dời hệ thống điện trung hạ thế, trạm biến áp - thuộc dự án: Đường Nguyễn Thị Minh Khai, Huyện Xuân Lộc</v>
      </c>
      <c r="C4" s="27" t="str">
        <f>VLOOKUP(ROW(),data,COLUMN(),0)</f>
        <v>Di dời lưới hạ thế ABC độc lập</v>
      </c>
      <c r="D4" s="27" t="str">
        <f>" ngày "&amp;TEXT(VLOOKUP(ROW(),data,COLUMN(),0),"dd")&amp;" tháng "&amp;TEXT(VLOOKUP(ROW(),data,COLUMN(),0),"MM")&amp;" năm "&amp;TEXT(VLOOKUP(ROW(),data,COLUMN(),0),"yyyy")</f>
        <v xml:space="preserve"> ngày 30 tháng 08 năm 2020</v>
      </c>
      <c r="E4" s="27" t="str">
        <f>" ngày "&amp;TEXT(VLOOKUP(ROW(),data,COLUMN(),0),"dd")&amp;" tháng "&amp;TEXT(VLOOKUP(ROW(),data,COLUMN(),0),"MM")&amp;" năm "&amp;TEXT(VLOOKUP(ROW(),data,COLUMN(),0),"yyyy")</f>
        <v xml:space="preserve"> ngày 30 tháng 08 năm 2020</v>
      </c>
      <c r="F4" s="27" t="str">
        <f>VLOOKUP(ROW(),data,COLUMN(),0)</f>
        <v>Lưới hạ thế độc lập sau TBA Minh Khai 1</v>
      </c>
      <c r="G4" s="27" t="str">
        <f>VLOOKUP(ROW(),data,COLUMN(),0)</f>
        <v>Di dời 11 trụ hạ thế từ trụ 03/01 đến trụ 03/11 và toàn bộ dây khách hàng đấu nối vào lưới hạ thế hiện hữu</v>
      </c>
      <c r="H4" s="27" t="str">
        <f>TEXT(VLOOKUP(ROW(),data,COLUMN(),0),"#.##0")</f>
        <v>Sử dụng lại toàn bộ vật tư hiện hữu</v>
      </c>
      <c r="I4" s="27" t="str">
        <f>VLOOKUP(ROW(),data,COLUMN(),0)</f>
        <v>Dây đai an toàn, quần, áo, nón bảo hộ lao động…
Găng tay hạ thế</v>
      </c>
      <c r="J4" s="27" t="str">
        <f t="shared" si="1"/>
        <v>Amper kìm, máy đo điện trở tiếp địa…</v>
      </c>
      <c r="K4" s="27" t="str">
        <f t="shared" si="1"/>
        <v>Xe cẩu 5T: 02 xe.
Kích tăng dây: 4 cái.
Kìm ép thủy lực: 3 cái.
Puly: 6 cái.
Các dụng cụ khác như cle, mỏ lết, cuốc, xà beng …</v>
      </c>
      <c r="L4" s="27" t="str">
        <f t="shared" si="1"/>
        <v>FCO và MCCB TBA Minh Khai 1</v>
      </c>
      <c r="M4" s="27" t="str">
        <f t="shared" si="1"/>
        <v>Tại TBA Minh Khai 1</v>
      </c>
      <c r="N4" s="27" t="str">
        <f t="shared" si="1"/>
        <v>Đã tiếp địa, Cấm đóng điện</v>
      </c>
      <c r="O4" s="27" t="str">
        <f t="shared" si="1"/>
        <v>Trực tiếp</v>
      </c>
      <c r="P4" s="27" t="str">
        <f t="shared" si="1"/>
        <v xml:space="preserve">Đơn vị công tác 1: Thực hiện công tác theo PCT/LCT............. Nội dung công việc: thực hiện trong phạm vi từ trụ 03/01 đến trụ 03/11 </v>
      </c>
      <c r="Q4" s="27" t="str">
        <f t="shared" si="1"/>
        <v>Không</v>
      </c>
      <c r="R4" s="27" t="str">
        <f t="shared" si="1"/>
        <v xml:space="preserve">từ trụ 03/01 đến trụ 03/11 </v>
      </c>
      <c r="S4" s="27" t="str">
        <f t="shared" si="1"/>
        <v>00/01/1900</v>
      </c>
      <c r="T4" s="27" t="str">
        <f t="shared" si="1"/>
        <v>00/01/1900</v>
      </c>
      <c r="U4" s="27" t="str">
        <f t="shared" si="1"/>
        <v>00/01/1900</v>
      </c>
      <c r="V4" s="27" t="str">
        <f t="shared" si="1"/>
        <v>Không</v>
      </c>
      <c r="W4" s="27" t="str">
        <f t="shared" si="1"/>
        <v>00/01/1900</v>
      </c>
      <c r="X4" s="27" t="str">
        <f t="shared" si="1"/>
        <v>00/01/1900</v>
      </c>
    </row>
    <row r="5" spans="1:25">
      <c r="A5" s="1"/>
      <c r="B5" s="2"/>
      <c r="C5" s="2"/>
      <c r="D5" s="4"/>
      <c r="E5" s="2"/>
      <c r="F5" s="2"/>
      <c r="G5" s="5"/>
      <c r="H5" s="2"/>
      <c r="I5" s="2"/>
      <c r="J5" s="4"/>
      <c r="K5" s="4"/>
      <c r="L5" s="4"/>
      <c r="M5" s="4"/>
      <c r="N5" s="4"/>
      <c r="O5" s="4"/>
      <c r="P5" s="4"/>
      <c r="Q5" s="4"/>
      <c r="R5" s="4"/>
      <c r="S5" s="4"/>
      <c r="T5" s="4"/>
      <c r="U5" s="4"/>
      <c r="V5" s="4"/>
      <c r="W5" s="4"/>
      <c r="X5" s="4"/>
      <c r="Y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27"/>
  <sheetViews>
    <sheetView topLeftCell="H1" workbookViewId="0">
      <selection activeCell="P1" sqref="P1"/>
    </sheetView>
  </sheetViews>
  <sheetFormatPr defaultColWidth="9.109375" defaultRowHeight="15.6" outlineLevelCol="1"/>
  <cols>
    <col min="1" max="2" width="9.109375" style="14"/>
    <col min="3" max="3" width="6.33203125" style="14" customWidth="1"/>
    <col min="4" max="4" width="26.88671875" style="21" bestFit="1" customWidth="1"/>
    <col min="5" max="5" width="8.6640625" style="33" customWidth="1"/>
    <col min="6" max="7" width="18" style="22" customWidth="1" outlineLevel="1"/>
    <col min="8" max="8" width="11.109375" style="14" customWidth="1" outlineLevel="1"/>
    <col min="9" max="9" width="19" style="14" customWidth="1"/>
    <col min="10" max="10" width="11.109375" style="14" customWidth="1"/>
    <col min="11" max="11" width="9.109375" style="14"/>
    <col min="12" max="12" width="26.33203125" style="14" customWidth="1"/>
    <col min="13" max="13" width="12.6640625" style="14" customWidth="1"/>
    <col min="14" max="14" width="10.109375" style="21" bestFit="1" customWidth="1"/>
    <col min="15" max="16384" width="9.109375" style="14"/>
  </cols>
  <sheetData>
    <row r="1" spans="2:14" s="10" customFormat="1" ht="33" customHeight="1">
      <c r="C1" s="11" t="s">
        <v>0</v>
      </c>
      <c r="D1" s="20" t="s">
        <v>15</v>
      </c>
      <c r="E1" s="31" t="s">
        <v>20</v>
      </c>
      <c r="F1" s="11" t="s">
        <v>16</v>
      </c>
      <c r="G1" s="11" t="s">
        <v>17</v>
      </c>
      <c r="H1" s="11" t="s">
        <v>19</v>
      </c>
      <c r="I1" s="11" t="s">
        <v>18</v>
      </c>
      <c r="J1" s="11" t="s">
        <v>19</v>
      </c>
      <c r="M1" s="10">
        <v>1</v>
      </c>
      <c r="N1" s="28" t="s">
        <v>118</v>
      </c>
    </row>
    <row r="2" spans="2:14">
      <c r="C2" s="12">
        <f>ROW()-1</f>
        <v>1</v>
      </c>
      <c r="D2" s="19" t="str">
        <f t="shared" ref="D2:D27" si="0">IFERROR(VLOOKUP($C2,NhanSu,2,),"")</f>
        <v>Mai Văn Thái</v>
      </c>
      <c r="E2" s="32"/>
      <c r="F2" s="12"/>
      <c r="G2" s="12"/>
      <c r="H2" s="13"/>
      <c r="I2" s="12" t="str">
        <f t="shared" ref="I2:I27" si="1">IFERROR(VLOOKUP($C2,NhanSu,5,),"")</f>
        <v>Công nhân</v>
      </c>
      <c r="J2" s="13"/>
      <c r="L2" s="21" t="str">
        <f>"Giao ông "&amp;D2&amp;" làm "&amp;LOWER(F2)&amp;" trụ trung hạ thế trạm "&amp;M2&amp;" "&amp;$N$1</f>
        <v>Giao ông Mai Văn Thái làm  trụ trung hạ thế trạm 0 Nhánh rẽ Thọ Vực</v>
      </c>
      <c r="M2" s="21" cm="1">
        <f t="array" ref="M2">INDEX(N:R,ROW(),1)</f>
        <v>0</v>
      </c>
    </row>
    <row r="3" spans="2:14">
      <c r="C3" s="12">
        <f t="shared" ref="C3:C27" si="2">ROW()-1</f>
        <v>2</v>
      </c>
      <c r="D3" s="19" t="str">
        <f t="shared" si="0"/>
        <v>Đinh Minh Hòa</v>
      </c>
      <c r="E3" s="32">
        <f t="shared" ref="E3:E27" si="3">IFERROR(VLOOKUP($C3,NhanSu,3,),"")</f>
        <v>44015</v>
      </c>
      <c r="F3" s="12"/>
      <c r="G3" s="12"/>
      <c r="H3" s="13"/>
      <c r="I3" s="12" t="str">
        <f t="shared" si="1"/>
        <v>Công nhân</v>
      </c>
      <c r="J3" s="13"/>
      <c r="L3" s="21" t="str">
        <f t="shared" ref="L3:L26" si="4">"Giao ông "&amp;D3&amp;" làm "&amp;LOWER(F3)&amp;" trụ trung hạ thế trạm "&amp;M3&amp;" "&amp;$N$1</f>
        <v>Giao ông Đinh Minh Hòa làm  trụ trung hạ thế trạm 0 Nhánh rẽ Thọ Vực</v>
      </c>
      <c r="M3" s="21" cm="1">
        <f t="array" ref="M3">INDEX(N:R,ROW(),1)</f>
        <v>0</v>
      </c>
    </row>
    <row r="4" spans="2:14">
      <c r="C4" s="12">
        <f t="shared" si="2"/>
        <v>3</v>
      </c>
      <c r="D4" s="19" t="str">
        <f t="shared" si="0"/>
        <v>Đinh Nguyễn Trọng Toàn</v>
      </c>
      <c r="E4" s="32">
        <f t="shared" si="3"/>
        <v>44015</v>
      </c>
      <c r="F4" s="12"/>
      <c r="G4" s="12"/>
      <c r="H4" s="13"/>
      <c r="I4" s="12" t="str">
        <f t="shared" si="1"/>
        <v>Công nhân</v>
      </c>
      <c r="J4" s="13"/>
      <c r="L4" s="21" t="str">
        <f t="shared" si="4"/>
        <v>Giao ông Đinh Nguyễn Trọng Toàn làm  trụ trung hạ thế trạm 0 Nhánh rẽ Thọ Vực</v>
      </c>
      <c r="M4" s="21" cm="1">
        <f t="array" ref="M4">INDEX(N:R,ROW(),1)</f>
        <v>0</v>
      </c>
    </row>
    <row r="5" spans="2:14">
      <c r="C5" s="12">
        <f t="shared" si="2"/>
        <v>4</v>
      </c>
      <c r="D5" s="19" t="str">
        <f t="shared" si="0"/>
        <v>Huỳnh Chí Tâm</v>
      </c>
      <c r="E5" s="32">
        <f t="shared" si="3"/>
        <v>44015</v>
      </c>
      <c r="F5" s="12"/>
      <c r="G5" s="12" t="s">
        <v>84</v>
      </c>
      <c r="H5" s="13"/>
      <c r="I5" s="12" t="str">
        <f t="shared" si="1"/>
        <v>Công nhân</v>
      </c>
      <c r="J5" s="13"/>
      <c r="L5" s="21" t="str">
        <f t="shared" si="4"/>
        <v>Giao ông Huỳnh Chí Tâm làm  trụ trung hạ thế trạm 0 Nhánh rẽ Thọ Vực</v>
      </c>
      <c r="M5" s="21" cm="1">
        <f t="array" ref="M5">INDEX(N:R,ROW(),1)</f>
        <v>0</v>
      </c>
    </row>
    <row r="6" spans="2:14">
      <c r="C6" s="12">
        <f t="shared" si="2"/>
        <v>5</v>
      </c>
      <c r="D6" s="19" t="str">
        <f t="shared" si="0"/>
        <v>Huỳnh Mạnh Quyền</v>
      </c>
      <c r="E6" s="32">
        <f t="shared" si="3"/>
        <v>44016</v>
      </c>
      <c r="F6" s="12" t="s">
        <v>83</v>
      </c>
      <c r="G6" s="12"/>
      <c r="H6" s="13"/>
      <c r="I6" s="12" t="str">
        <f t="shared" si="1"/>
        <v>Công nhân</v>
      </c>
      <c r="J6" s="13"/>
      <c r="L6" s="21" t="str">
        <f t="shared" si="4"/>
        <v>Giao ông Huỳnh Mạnh Quyền làm tiếp địa trụ trung hạ thế trạm 029, 041/001B Nhánh rẽ Thọ Vực</v>
      </c>
      <c r="M6" s="21" t="str" cm="1">
        <f t="array" ref="M6">INDEX(N:R,ROW(),1)</f>
        <v>029, 041/001B</v>
      </c>
      <c r="N6" s="30" t="s">
        <v>123</v>
      </c>
    </row>
    <row r="7" spans="2:14">
      <c r="B7" s="13"/>
      <c r="C7" s="12">
        <f t="shared" si="2"/>
        <v>6</v>
      </c>
      <c r="D7" s="19" t="str">
        <f t="shared" si="0"/>
        <v>Huỳnh Tấn Sơn</v>
      </c>
      <c r="E7" s="32">
        <f t="shared" si="3"/>
        <v>44016</v>
      </c>
      <c r="F7" s="12"/>
      <c r="G7" s="12"/>
      <c r="H7" s="13"/>
      <c r="I7" s="12" t="str">
        <f t="shared" si="1"/>
        <v>Công nhân</v>
      </c>
      <c r="J7" s="13"/>
      <c r="L7" s="21" t="str">
        <f t="shared" si="4"/>
        <v>Giao ông Huỳnh Tấn Sơn làm  trụ trung hạ thế trạm 0 Nhánh rẽ Thọ Vực</v>
      </c>
      <c r="M7" s="21" cm="1">
        <f t="array" ref="M7">INDEX(N:R,ROW(),1)</f>
        <v>0</v>
      </c>
    </row>
    <row r="8" spans="2:14">
      <c r="B8" s="12" t="s">
        <v>129</v>
      </c>
      <c r="C8" s="12">
        <f t="shared" si="2"/>
        <v>7</v>
      </c>
      <c r="D8" s="19" t="str">
        <f t="shared" si="0"/>
        <v>Lê Hoàng Vũ</v>
      </c>
      <c r="E8" s="32">
        <f t="shared" si="3"/>
        <v>44015</v>
      </c>
      <c r="F8" s="12"/>
      <c r="G8" s="12"/>
      <c r="H8" s="12"/>
      <c r="I8" s="12" t="str">
        <f t="shared" si="1"/>
        <v>Công nhân</v>
      </c>
      <c r="J8" s="13"/>
      <c r="L8" s="21" t="str">
        <f t="shared" si="4"/>
        <v>Giao ông Lê Hoàng Vũ làm  trụ trung hạ thế trạm 0 Nhánh rẽ Thọ Vực</v>
      </c>
      <c r="M8" s="21" cm="1">
        <f t="array" ref="M8">INDEX(N:R,ROW(),1)</f>
        <v>0</v>
      </c>
    </row>
    <row r="9" spans="2:14">
      <c r="B9" s="13"/>
      <c r="C9" s="12">
        <f t="shared" si="2"/>
        <v>8</v>
      </c>
      <c r="D9" s="19" t="str">
        <f t="shared" si="0"/>
        <v>Ngô Minh Nhật</v>
      </c>
      <c r="E9" s="32">
        <f t="shared" si="3"/>
        <v>44015</v>
      </c>
      <c r="F9" s="12" t="s">
        <v>83</v>
      </c>
      <c r="G9" s="12"/>
      <c r="H9" s="13"/>
      <c r="I9" s="12" t="str">
        <f t="shared" si="1"/>
        <v>Công nhân</v>
      </c>
      <c r="J9" s="13"/>
      <c r="L9" s="21" t="str">
        <f t="shared" si="4"/>
        <v>Giao ông Ngô Minh Nhật làm tiếp địa trụ trung hạ thế trạm 054, 055 Nhánh rẽ Thọ Vực</v>
      </c>
      <c r="M9" s="21" t="str" cm="1">
        <f t="array" ref="M9">INDEX(N:R,ROW(),1)</f>
        <v>054, 055</v>
      </c>
      <c r="N9" s="30" t="s">
        <v>124</v>
      </c>
    </row>
    <row r="10" spans="2:14">
      <c r="B10" s="13"/>
      <c r="C10" s="12">
        <f t="shared" si="2"/>
        <v>9</v>
      </c>
      <c r="D10" s="19" t="str">
        <f t="shared" si="0"/>
        <v>Nguyễn Trọng Hữu</v>
      </c>
      <c r="E10" s="32">
        <f t="shared" si="3"/>
        <v>44015</v>
      </c>
      <c r="F10" s="12"/>
      <c r="G10" s="12"/>
      <c r="H10" s="13"/>
      <c r="I10" s="12" t="str">
        <f t="shared" si="1"/>
        <v>Công nhân</v>
      </c>
      <c r="J10" s="13"/>
      <c r="L10" s="21" t="str">
        <f t="shared" si="4"/>
        <v>Giao ông Nguyễn Trọng Hữu làm  trụ trung hạ thế trạm 0 Nhánh rẽ Thọ Vực</v>
      </c>
      <c r="M10" s="21" cm="1">
        <f t="array" ref="M10">INDEX(N:R,ROW(),1)</f>
        <v>0</v>
      </c>
    </row>
    <row r="11" spans="2:14" ht="16.8">
      <c r="B11" s="13"/>
      <c r="C11" s="12">
        <f t="shared" si="2"/>
        <v>10</v>
      </c>
      <c r="D11" s="19" t="str">
        <f t="shared" si="0"/>
        <v>Phạm Nguyễn Hoàng Phi</v>
      </c>
      <c r="E11" s="32">
        <f t="shared" si="3"/>
        <v>44015</v>
      </c>
      <c r="F11" s="12" t="s">
        <v>83</v>
      </c>
      <c r="G11" s="12"/>
      <c r="H11" s="13"/>
      <c r="I11" s="12" t="str">
        <f t="shared" si="1"/>
        <v>Công nhân</v>
      </c>
      <c r="J11" s="13"/>
      <c r="L11" s="21" t="str">
        <f t="shared" si="4"/>
        <v>Giao ông Phạm Nguyễn Hoàng Phi làm tiếp địa trụ trung hạ thế trạm trụ 010A  Nhánh rẽ Thọ Vực</v>
      </c>
      <c r="M11" s="21" t="str" cm="1">
        <f t="array" ref="M11">INDEX(N:R,ROW(),1)</f>
        <v xml:space="preserve">trụ 010A </v>
      </c>
      <c r="N11" s="29" t="s">
        <v>119</v>
      </c>
    </row>
    <row r="12" spans="2:14">
      <c r="B12" s="13"/>
      <c r="C12" s="12">
        <f t="shared" si="2"/>
        <v>11</v>
      </c>
      <c r="D12" s="19" t="str">
        <f t="shared" si="0"/>
        <v/>
      </c>
      <c r="E12" s="32" t="str">
        <f t="shared" si="3"/>
        <v/>
      </c>
      <c r="F12" s="12"/>
      <c r="G12" s="12"/>
      <c r="H12" s="13"/>
      <c r="I12" s="12" t="str">
        <f t="shared" si="1"/>
        <v/>
      </c>
      <c r="J12" s="13"/>
      <c r="L12" s="21" t="str">
        <f t="shared" si="4"/>
        <v>Giao ông  làm  trụ trung hạ thế trạm 0 Nhánh rẽ Thọ Vực</v>
      </c>
      <c r="M12" s="21" cm="1">
        <f t="array" ref="M12">INDEX(N:R,ROW(),1)</f>
        <v>0</v>
      </c>
    </row>
    <row r="13" spans="2:14">
      <c r="B13" s="13"/>
      <c r="C13" s="12">
        <f t="shared" si="2"/>
        <v>12</v>
      </c>
      <c r="D13" s="19" t="str">
        <f t="shared" si="0"/>
        <v/>
      </c>
      <c r="E13" s="32" t="str">
        <f t="shared" si="3"/>
        <v/>
      </c>
      <c r="F13" s="12" t="s">
        <v>83</v>
      </c>
      <c r="G13" s="12"/>
      <c r="H13" s="13"/>
      <c r="I13" s="12" t="str">
        <f t="shared" si="1"/>
        <v/>
      </c>
      <c r="J13" s="13"/>
      <c r="L13" s="21" t="str">
        <f t="shared" si="4"/>
        <v>Giao ông  làm tiếp địa trụ trung hạ thế trạm Thọ Vực 2, Thọ Vực 2A, Thọ Vực 3 Nhánh rẽ Thọ Vực</v>
      </c>
      <c r="M13" s="21" t="str" cm="1">
        <f t="array" ref="M13">INDEX(N:R,ROW(),1)</f>
        <v>Thọ Vực 2, Thọ Vực 2A, Thọ Vực 3</v>
      </c>
      <c r="N13" s="21" t="s">
        <v>121</v>
      </c>
    </row>
    <row r="14" spans="2:14">
      <c r="B14" s="13"/>
      <c r="C14" s="12">
        <f t="shared" si="2"/>
        <v>13</v>
      </c>
      <c r="D14" s="19" t="str">
        <f t="shared" si="0"/>
        <v/>
      </c>
      <c r="E14" s="32" t="str">
        <f t="shared" si="3"/>
        <v/>
      </c>
      <c r="F14" s="12"/>
      <c r="G14" s="12" t="s">
        <v>84</v>
      </c>
      <c r="H14" s="13"/>
      <c r="I14" s="12" t="str">
        <f t="shared" si="1"/>
        <v/>
      </c>
      <c r="J14" s="13"/>
      <c r="L14" s="21" t="str">
        <f t="shared" si="4"/>
        <v>Giao ông  làm  trụ trung hạ thế trạm 0 Nhánh rẽ Thọ Vực</v>
      </c>
      <c r="M14" s="21" cm="1">
        <f t="array" ref="M14">INDEX(N:R,ROW(),1)</f>
        <v>0</v>
      </c>
    </row>
    <row r="15" spans="2:14">
      <c r="B15" s="12" t="s">
        <v>129</v>
      </c>
      <c r="C15" s="12">
        <f t="shared" si="2"/>
        <v>14</v>
      </c>
      <c r="D15" s="19" t="str">
        <f t="shared" si="0"/>
        <v/>
      </c>
      <c r="E15" s="32" t="str">
        <f t="shared" si="3"/>
        <v/>
      </c>
      <c r="F15" s="12" t="s">
        <v>83</v>
      </c>
      <c r="G15" s="12"/>
      <c r="H15" s="12"/>
      <c r="I15" s="12" t="str">
        <f t="shared" si="1"/>
        <v/>
      </c>
      <c r="J15" s="13"/>
      <c r="L15" s="21" t="str">
        <f t="shared" si="4"/>
        <v>Giao ông  làm tiếp địa trụ trung hạ thế trạm Nông trường Thọ Vực 1, Nông trường Thọ Vực 2. Nhánh rẽ Thọ Vực</v>
      </c>
      <c r="M15" s="21" t="str" cm="1">
        <f t="array" ref="M15">INDEX(N:R,ROW(),1)</f>
        <v>Nông trường Thọ Vực 1, Nông trường Thọ Vực 2.</v>
      </c>
      <c r="N15" s="21" t="s">
        <v>120</v>
      </c>
    </row>
    <row r="16" spans="2:14">
      <c r="B16" s="13"/>
      <c r="C16" s="12">
        <f t="shared" si="2"/>
        <v>15</v>
      </c>
      <c r="D16" s="19" t="str">
        <f t="shared" si="0"/>
        <v/>
      </c>
      <c r="E16" s="32" t="str">
        <f t="shared" si="3"/>
        <v/>
      </c>
      <c r="F16" s="12"/>
      <c r="G16" s="12"/>
      <c r="H16" s="13"/>
      <c r="I16" s="12" t="str">
        <f t="shared" si="1"/>
        <v/>
      </c>
      <c r="J16" s="13"/>
      <c r="L16" s="21" t="str">
        <f t="shared" si="4"/>
        <v>Giao ông  làm  trụ trung hạ thế trạm 0 Nhánh rẽ Thọ Vực</v>
      </c>
      <c r="M16" s="21" cm="1">
        <f t="array" ref="M16">INDEX(N:R,ROW(),1)</f>
        <v>0</v>
      </c>
    </row>
    <row r="17" spans="2:14">
      <c r="B17" s="13"/>
      <c r="C17" s="12">
        <f t="shared" si="2"/>
        <v>16</v>
      </c>
      <c r="D17" s="19" t="str">
        <f t="shared" si="0"/>
        <v/>
      </c>
      <c r="E17" s="32" t="str">
        <f t="shared" si="3"/>
        <v/>
      </c>
      <c r="F17" s="12" t="s">
        <v>83</v>
      </c>
      <c r="G17" s="12"/>
      <c r="H17" s="13"/>
      <c r="I17" s="12" t="str">
        <f t="shared" si="1"/>
        <v/>
      </c>
      <c r="J17" s="13"/>
      <c r="L17" s="21" t="str">
        <f t="shared" si="4"/>
        <v>Giao ông  làm tiếp địa trụ trung hạ thế trạm 054/001 Nhánh rẽ Thọ Vực</v>
      </c>
      <c r="M17" s="21" t="str" cm="1">
        <f t="array" ref="M17">INDEX(N:R,ROW(),1)</f>
        <v>054/001</v>
      </c>
      <c r="N17" s="21" t="s">
        <v>125</v>
      </c>
    </row>
    <row r="18" spans="2:14">
      <c r="B18" s="13"/>
      <c r="C18" s="12">
        <f t="shared" si="2"/>
        <v>17</v>
      </c>
      <c r="D18" s="19" t="str">
        <f t="shared" si="0"/>
        <v/>
      </c>
      <c r="E18" s="32" t="str">
        <f t="shared" si="3"/>
        <v/>
      </c>
      <c r="F18" s="12"/>
      <c r="G18" s="12"/>
      <c r="H18" s="13"/>
      <c r="I18" s="12" t="str">
        <f t="shared" si="1"/>
        <v/>
      </c>
      <c r="J18" s="13"/>
      <c r="L18" s="21" t="str">
        <f t="shared" si="4"/>
        <v>Giao ông  làm  trụ trung hạ thế trạm 0 Nhánh rẽ Thọ Vực</v>
      </c>
      <c r="M18" s="21" cm="1">
        <f t="array" ref="M18">INDEX(N:R,ROW(),1)</f>
        <v>0</v>
      </c>
    </row>
    <row r="19" spans="2:14">
      <c r="B19" s="13"/>
      <c r="C19" s="12">
        <f t="shared" si="2"/>
        <v>18</v>
      </c>
      <c r="D19" s="19" t="str">
        <f t="shared" si="0"/>
        <v/>
      </c>
      <c r="E19" s="32" t="str">
        <f t="shared" si="3"/>
        <v/>
      </c>
      <c r="F19" s="12" t="s">
        <v>83</v>
      </c>
      <c r="G19" s="12" t="s">
        <v>84</v>
      </c>
      <c r="H19" s="13"/>
      <c r="I19" s="12" t="str">
        <f t="shared" si="1"/>
        <v/>
      </c>
      <c r="J19" s="13"/>
      <c r="L19" s="21" t="str">
        <f t="shared" si="4"/>
        <v>Giao ông  làm tiếp địa trụ trung hạ thế trạm 001A Nhánh rẽ Thọ Vực</v>
      </c>
      <c r="M19" s="21" t="str" cm="1">
        <f t="array" ref="M19">INDEX(N:R,ROW(),1)</f>
        <v>001A</v>
      </c>
      <c r="N19" s="21" t="s">
        <v>122</v>
      </c>
    </row>
    <row r="20" spans="2:14">
      <c r="B20" s="13"/>
      <c r="C20" s="12">
        <f t="shared" si="2"/>
        <v>19</v>
      </c>
      <c r="D20" s="19" t="str">
        <f t="shared" si="0"/>
        <v/>
      </c>
      <c r="E20" s="32" t="str">
        <f t="shared" si="3"/>
        <v/>
      </c>
      <c r="F20" s="12"/>
      <c r="G20" s="12"/>
      <c r="H20" s="13"/>
      <c r="I20" s="12" t="str">
        <f t="shared" si="1"/>
        <v/>
      </c>
      <c r="J20" s="13"/>
      <c r="L20" s="21" t="str">
        <f t="shared" si="4"/>
        <v>Giao ông  làm  trụ trung hạ thế trạm 0 Nhánh rẽ Thọ Vực</v>
      </c>
      <c r="M20" s="21" cm="1">
        <f t="array" ref="M20">INDEX(N:R,ROW(),1)</f>
        <v>0</v>
      </c>
    </row>
    <row r="21" spans="2:14">
      <c r="B21" s="12" t="s">
        <v>129</v>
      </c>
      <c r="C21" s="12">
        <f t="shared" si="2"/>
        <v>20</v>
      </c>
      <c r="D21" s="19" t="str">
        <f t="shared" si="0"/>
        <v/>
      </c>
      <c r="E21" s="32" t="str">
        <f t="shared" si="3"/>
        <v/>
      </c>
      <c r="F21" s="12"/>
      <c r="G21" s="12"/>
      <c r="H21" s="12"/>
      <c r="I21" s="12" t="str">
        <f t="shared" si="1"/>
        <v/>
      </c>
      <c r="J21" s="13"/>
      <c r="L21" s="21" t="str">
        <f t="shared" si="4"/>
        <v>Giao ông  làm  trụ trung hạ thế trạm 0 Nhánh rẽ Thọ Vực</v>
      </c>
      <c r="M21" s="21" cm="1">
        <f t="array" ref="M21">INDEX(N:R,ROW(),1)</f>
        <v>0</v>
      </c>
    </row>
    <row r="22" spans="2:14">
      <c r="C22" s="12">
        <f t="shared" si="2"/>
        <v>21</v>
      </c>
      <c r="D22" s="19" t="str">
        <f t="shared" si="0"/>
        <v/>
      </c>
      <c r="E22" s="32" t="str">
        <f t="shared" si="3"/>
        <v/>
      </c>
      <c r="F22" s="12"/>
      <c r="G22" s="12"/>
      <c r="H22" s="13"/>
      <c r="I22" s="12" t="str">
        <f t="shared" si="1"/>
        <v/>
      </c>
      <c r="J22" s="13"/>
      <c r="L22" s="21" t="str">
        <f t="shared" si="4"/>
        <v>Giao ông  làm  trụ trung hạ thế trạm 0 Nhánh rẽ Thọ Vực</v>
      </c>
      <c r="M22" s="21" cm="1">
        <f t="array" ref="M22">INDEX(N:R,ROW(),1)</f>
        <v>0</v>
      </c>
    </row>
    <row r="23" spans="2:14">
      <c r="C23" s="12">
        <f t="shared" si="2"/>
        <v>22</v>
      </c>
      <c r="D23" s="19" t="str">
        <f t="shared" si="0"/>
        <v/>
      </c>
      <c r="E23" s="32" t="str">
        <f t="shared" si="3"/>
        <v/>
      </c>
      <c r="F23" s="12"/>
      <c r="G23" s="12" t="s">
        <v>84</v>
      </c>
      <c r="H23" s="13"/>
      <c r="I23" s="12" t="str">
        <f t="shared" si="1"/>
        <v/>
      </c>
      <c r="J23" s="13"/>
      <c r="L23" s="21" t="str">
        <f t="shared" si="4"/>
        <v>Giao ông  làm  trụ trung hạ thế trạm 0 Nhánh rẽ Thọ Vực</v>
      </c>
      <c r="M23" s="21" cm="1">
        <f t="array" ref="M23">INDEX(N:R,ROW(),1)</f>
        <v>0</v>
      </c>
    </row>
    <row r="24" spans="2:14">
      <c r="C24" s="12">
        <f t="shared" si="2"/>
        <v>23</v>
      </c>
      <c r="D24" s="19" t="str">
        <f t="shared" si="0"/>
        <v/>
      </c>
      <c r="E24" s="32" t="str">
        <f t="shared" si="3"/>
        <v/>
      </c>
      <c r="F24" s="12"/>
      <c r="G24" s="12"/>
      <c r="H24" s="13"/>
      <c r="I24" s="12" t="str">
        <f t="shared" si="1"/>
        <v/>
      </c>
      <c r="J24" s="13"/>
      <c r="L24" s="21" t="str">
        <f t="shared" si="4"/>
        <v>Giao ông  làm  trụ trung hạ thế trạm 0 Nhánh rẽ Thọ Vực</v>
      </c>
      <c r="M24" s="21" cm="1">
        <f t="array" ref="M24">INDEX(N:R,ROW(),1)</f>
        <v>0</v>
      </c>
    </row>
    <row r="25" spans="2:14">
      <c r="C25" s="12">
        <f t="shared" si="2"/>
        <v>24</v>
      </c>
      <c r="D25" s="19" t="str">
        <f t="shared" si="0"/>
        <v/>
      </c>
      <c r="E25" s="32" t="str">
        <f t="shared" si="3"/>
        <v/>
      </c>
      <c r="F25" s="12"/>
      <c r="G25" s="12"/>
      <c r="H25" s="13"/>
      <c r="I25" s="12" t="str">
        <f t="shared" si="1"/>
        <v/>
      </c>
      <c r="J25" s="13"/>
      <c r="L25" s="21" t="str">
        <f t="shared" si="4"/>
        <v>Giao ông  làm  trụ trung hạ thế trạm 0 Nhánh rẽ Thọ Vực</v>
      </c>
      <c r="M25" s="21" cm="1">
        <f t="array" ref="M25">INDEX(N:R,ROW(),1)</f>
        <v>0</v>
      </c>
    </row>
    <row r="26" spans="2:14">
      <c r="C26" s="12">
        <f t="shared" si="2"/>
        <v>25</v>
      </c>
      <c r="D26" s="19" t="str">
        <f t="shared" si="0"/>
        <v/>
      </c>
      <c r="E26" s="32" t="str">
        <f t="shared" si="3"/>
        <v/>
      </c>
      <c r="F26" s="12"/>
      <c r="G26" s="12"/>
      <c r="H26" s="13"/>
      <c r="I26" s="12" t="str">
        <f t="shared" si="1"/>
        <v/>
      </c>
      <c r="J26" s="13"/>
      <c r="L26" s="21" t="str">
        <f t="shared" si="4"/>
        <v>Giao ông  làm  trụ trung hạ thế trạm 0 Nhánh rẽ Thọ Vực</v>
      </c>
      <c r="M26" s="21" cm="1">
        <f t="array" ref="M26">INDEX(N:R,ROW(),1)</f>
        <v>0</v>
      </c>
    </row>
    <row r="27" spans="2:14">
      <c r="C27" s="12">
        <f t="shared" si="2"/>
        <v>26</v>
      </c>
      <c r="D27" s="19" t="str">
        <f t="shared" si="0"/>
        <v/>
      </c>
      <c r="E27" s="32" t="str">
        <f t="shared" si="3"/>
        <v/>
      </c>
      <c r="F27" s="12"/>
      <c r="G27" s="12"/>
      <c r="H27" s="13"/>
      <c r="I27" s="12" t="str">
        <f t="shared" si="1"/>
        <v/>
      </c>
      <c r="J27" s="13"/>
      <c r="L27" s="21" t="str">
        <f t="shared" ref="L27" si="5">"Giao ông "&amp;D27&amp;" làm "&amp;LOWER(F27)&amp;" trụ trung hạ thế trạm "&amp;M27&amp;" "&amp;$N$1</f>
        <v>Giao ông  làm  trụ trung hạ thế trạm 0 Nhánh rẽ Thọ Vực</v>
      </c>
      <c r="M27" s="21" cm="1">
        <f t="array" ref="M27">INDEX(N:R,ROW(),1)</f>
        <v>0</v>
      </c>
    </row>
  </sheetData>
  <autoFilter ref="C1:L2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C1:Q55"/>
  <sheetViews>
    <sheetView showZeros="0" topLeftCell="D1" workbookViewId="0">
      <selection activeCell="I61" sqref="I61"/>
    </sheetView>
  </sheetViews>
  <sheetFormatPr defaultRowHeight="14.4"/>
  <cols>
    <col min="5" max="5" width="30.109375" bestFit="1" customWidth="1"/>
    <col min="7" max="7" width="9" customWidth="1"/>
    <col min="8" max="8" width="18.5546875" bestFit="1" customWidth="1"/>
    <col min="10" max="10" width="12.88671875" customWidth="1"/>
    <col min="11" max="11" width="11.109375" customWidth="1"/>
    <col min="13" max="13" width="12" bestFit="1" customWidth="1"/>
    <col min="14" max="14" width="16.88671875" customWidth="1"/>
  </cols>
  <sheetData>
    <row r="1" spans="3:17" s="42" customFormat="1" ht="30.6" customHeight="1">
      <c r="C1" s="42" t="s">
        <v>66</v>
      </c>
      <c r="D1" s="39" t="s">
        <v>21</v>
      </c>
      <c r="E1" s="39" t="s">
        <v>15</v>
      </c>
      <c r="F1" s="39" t="s">
        <v>22</v>
      </c>
      <c r="G1" s="39" t="s">
        <v>20</v>
      </c>
      <c r="H1" s="39" t="s">
        <v>18</v>
      </c>
      <c r="I1" s="39" t="s">
        <v>19</v>
      </c>
      <c r="J1" s="40">
        <v>4</v>
      </c>
      <c r="K1" s="41" t="s">
        <v>81</v>
      </c>
      <c r="L1" s="41" t="s">
        <v>82</v>
      </c>
      <c r="M1" s="42">
        <v>20200880312</v>
      </c>
      <c r="N1" s="42">
        <v>20200401924</v>
      </c>
      <c r="O1" s="42">
        <f t="shared" ref="O1:Q1" si="0">COLUMN()-COLUMN($J$1)</f>
        <v>5</v>
      </c>
      <c r="P1" s="42">
        <f t="shared" si="0"/>
        <v>6</v>
      </c>
      <c r="Q1" s="42">
        <f t="shared" si="0"/>
        <v>7</v>
      </c>
    </row>
    <row r="2" spans="3:17" ht="16.8" hidden="1">
      <c r="C2" t="s">
        <v>66</v>
      </c>
      <c r="D2" s="15">
        <f>SUM($J$2:J2)</f>
        <v>0</v>
      </c>
      <c r="E2" s="18" t="s">
        <v>74</v>
      </c>
      <c r="F2" s="18"/>
      <c r="G2" s="18"/>
      <c r="H2" s="43" t="s">
        <v>27</v>
      </c>
      <c r="I2" s="18"/>
      <c r="J2" cm="1">
        <f t="array" ref="J2">INDEX(K:Q,ROW(),$J$1)</f>
        <v>0</v>
      </c>
      <c r="M2">
        <v>1</v>
      </c>
    </row>
    <row r="3" spans="3:17" ht="16.8" hidden="1">
      <c r="C3" t="s">
        <v>66</v>
      </c>
      <c r="D3" s="15">
        <f>SUM($J$2:J3)</f>
        <v>0</v>
      </c>
      <c r="E3" s="16" t="s">
        <v>176</v>
      </c>
      <c r="F3" s="17"/>
      <c r="G3" s="17"/>
      <c r="H3" s="15" t="s">
        <v>79</v>
      </c>
      <c r="I3" s="15"/>
      <c r="J3" cm="1">
        <f t="array" ref="J3">INDEX(K:Q,ROW(),$J$1)</f>
        <v>0</v>
      </c>
      <c r="M3">
        <v>1</v>
      </c>
    </row>
    <row r="4" spans="3:17" ht="16.8">
      <c r="C4" t="s">
        <v>66</v>
      </c>
      <c r="D4" s="15">
        <f>SUM($J$2:J4)</f>
        <v>1</v>
      </c>
      <c r="E4" s="16" t="s">
        <v>46</v>
      </c>
      <c r="F4" s="17">
        <v>44015</v>
      </c>
      <c r="G4" s="17">
        <v>43956</v>
      </c>
      <c r="H4" s="15" t="s">
        <v>24</v>
      </c>
      <c r="I4" s="15"/>
      <c r="J4" cm="1">
        <f t="array" ref="J4">INDEX(K:Q,ROW(),$J$1)</f>
        <v>1</v>
      </c>
      <c r="K4" s="6">
        <v>1</v>
      </c>
      <c r="L4" s="6">
        <v>1</v>
      </c>
      <c r="N4">
        <v>1</v>
      </c>
    </row>
    <row r="5" spans="3:17" ht="16.8">
      <c r="C5" t="s">
        <v>66</v>
      </c>
      <c r="D5" s="15">
        <f>SUM($J$2:J5)</f>
        <v>2</v>
      </c>
      <c r="E5" s="16" t="s">
        <v>35</v>
      </c>
      <c r="F5" s="17">
        <v>44015</v>
      </c>
      <c r="G5" s="17">
        <v>43954</v>
      </c>
      <c r="H5" s="15" t="s">
        <v>24</v>
      </c>
      <c r="I5" s="15"/>
      <c r="J5" cm="1">
        <f t="array" ref="J5">INDEX(K:Q,ROW(),$J$1)</f>
        <v>1</v>
      </c>
      <c r="K5" s="6">
        <v>1</v>
      </c>
      <c r="L5" s="6">
        <v>1</v>
      </c>
      <c r="M5">
        <v>1</v>
      </c>
      <c r="N5" s="6">
        <v>1</v>
      </c>
    </row>
    <row r="6" spans="3:17" ht="16.8">
      <c r="C6" t="s">
        <v>66</v>
      </c>
      <c r="D6" s="15">
        <f>SUM($J$2:J6)</f>
        <v>3</v>
      </c>
      <c r="E6" s="16" t="s">
        <v>29</v>
      </c>
      <c r="F6" s="17">
        <v>44015</v>
      </c>
      <c r="G6" s="17">
        <v>43955</v>
      </c>
      <c r="H6" s="15" t="s">
        <v>24</v>
      </c>
      <c r="I6" s="15"/>
      <c r="J6" cm="1">
        <f t="array" ref="J6">INDEX(K:Q,ROW(),$J$1)</f>
        <v>1</v>
      </c>
      <c r="K6" s="6">
        <v>1</v>
      </c>
      <c r="L6" s="6">
        <v>1</v>
      </c>
      <c r="N6" s="6">
        <v>1</v>
      </c>
    </row>
    <row r="7" spans="3:17" ht="16.8" hidden="1">
      <c r="C7" t="s">
        <v>66</v>
      </c>
      <c r="D7" s="15">
        <f>SUM($J$2:J7)</f>
        <v>3</v>
      </c>
      <c r="E7" s="16" t="s">
        <v>63</v>
      </c>
      <c r="F7" s="17">
        <v>44016</v>
      </c>
      <c r="G7" s="17">
        <v>43955</v>
      </c>
      <c r="H7" s="15" t="s">
        <v>24</v>
      </c>
      <c r="I7" s="15"/>
      <c r="J7" cm="1">
        <f t="array" ref="J7">INDEX(K:Q,ROW(),$J$1)</f>
        <v>0</v>
      </c>
      <c r="K7" s="6">
        <v>1</v>
      </c>
      <c r="L7" s="6">
        <v>1</v>
      </c>
    </row>
    <row r="8" spans="3:17" ht="16.8" hidden="1">
      <c r="C8" t="s">
        <v>66</v>
      </c>
      <c r="D8" s="15">
        <f>SUM($J$2:J8)</f>
        <v>3</v>
      </c>
      <c r="E8" s="16" t="s">
        <v>49</v>
      </c>
      <c r="F8" s="17">
        <v>44015</v>
      </c>
      <c r="G8" s="17">
        <v>43955</v>
      </c>
      <c r="H8" s="15" t="s">
        <v>24</v>
      </c>
      <c r="I8" s="15"/>
      <c r="J8" cm="1">
        <f t="array" ref="J8">INDEX(K:Q,ROW(),$J$1)</f>
        <v>0</v>
      </c>
      <c r="K8" s="6">
        <v>1</v>
      </c>
      <c r="L8" s="6">
        <v>1</v>
      </c>
      <c r="M8">
        <v>1</v>
      </c>
    </row>
    <row r="9" spans="3:17" ht="16.8">
      <c r="C9" t="s">
        <v>66</v>
      </c>
      <c r="D9" s="15">
        <f>SUM($J$2:J9)</f>
        <v>4</v>
      </c>
      <c r="E9" s="16" t="s">
        <v>38</v>
      </c>
      <c r="F9" s="17">
        <v>44015</v>
      </c>
      <c r="G9" s="17">
        <v>43956</v>
      </c>
      <c r="H9" s="15" t="s">
        <v>24</v>
      </c>
      <c r="I9" s="15"/>
      <c r="J9" cm="1">
        <f t="array" ref="J9">INDEX(K:Q,ROW(),$J$1)</f>
        <v>1</v>
      </c>
      <c r="K9" s="6">
        <v>1</v>
      </c>
      <c r="L9" s="6">
        <v>1</v>
      </c>
      <c r="M9">
        <v>1</v>
      </c>
      <c r="N9">
        <v>1</v>
      </c>
    </row>
    <row r="10" spans="3:17" ht="16.8">
      <c r="C10" t="s">
        <v>66</v>
      </c>
      <c r="D10" s="15">
        <f>SUM($J$2:J10)</f>
        <v>5</v>
      </c>
      <c r="E10" s="16" t="s">
        <v>41</v>
      </c>
      <c r="F10" s="17">
        <v>44016</v>
      </c>
      <c r="G10" s="17">
        <v>43955</v>
      </c>
      <c r="H10" s="15" t="s">
        <v>24</v>
      </c>
      <c r="I10" s="15"/>
      <c r="J10" cm="1">
        <f t="array" ref="J10">INDEX(K:Q,ROW(),$J$1)</f>
        <v>1</v>
      </c>
      <c r="K10" s="6">
        <v>1</v>
      </c>
      <c r="L10" s="6">
        <v>1</v>
      </c>
      <c r="M10">
        <v>1</v>
      </c>
      <c r="N10">
        <v>1</v>
      </c>
    </row>
    <row r="11" spans="3:17" ht="16.8">
      <c r="C11" t="s">
        <v>66</v>
      </c>
      <c r="D11" s="15">
        <f>SUM($J$2:J11)</f>
        <v>6</v>
      </c>
      <c r="E11" s="16" t="s">
        <v>25</v>
      </c>
      <c r="F11" s="17">
        <v>44016</v>
      </c>
      <c r="G11" s="17">
        <v>43955</v>
      </c>
      <c r="H11" s="15" t="s">
        <v>24</v>
      </c>
      <c r="I11" s="15"/>
      <c r="J11" cm="1">
        <f t="array" ref="J11">INDEX(K:Q,ROW(),$J$1)</f>
        <v>1</v>
      </c>
      <c r="K11" s="6">
        <v>1</v>
      </c>
      <c r="L11" s="6">
        <v>1</v>
      </c>
      <c r="M11">
        <v>1</v>
      </c>
      <c r="N11">
        <v>1</v>
      </c>
    </row>
    <row r="12" spans="3:17" ht="16.8">
      <c r="C12" t="s">
        <v>66</v>
      </c>
      <c r="D12" s="15">
        <f>SUM($J$2:J12)</f>
        <v>7</v>
      </c>
      <c r="E12" s="16" t="s">
        <v>39</v>
      </c>
      <c r="F12" s="17">
        <v>44015</v>
      </c>
      <c r="G12" s="17">
        <v>43954</v>
      </c>
      <c r="H12" s="15" t="s">
        <v>24</v>
      </c>
      <c r="I12" s="15"/>
      <c r="J12" cm="1">
        <f t="array" ref="J12">INDEX(K:Q,ROW(),$J$1)</f>
        <v>1</v>
      </c>
      <c r="K12" s="6">
        <v>1</v>
      </c>
      <c r="L12" s="6">
        <v>1</v>
      </c>
      <c r="M12">
        <v>1</v>
      </c>
      <c r="N12">
        <v>1</v>
      </c>
    </row>
    <row r="13" spans="3:17" ht="16.8">
      <c r="C13" t="s">
        <v>66</v>
      </c>
      <c r="D13" s="15">
        <f>SUM($J$2:J13)</f>
        <v>8</v>
      </c>
      <c r="E13" s="16" t="s">
        <v>28</v>
      </c>
      <c r="F13" s="17">
        <v>44015</v>
      </c>
      <c r="G13" s="17">
        <v>43954</v>
      </c>
      <c r="H13" s="15" t="s">
        <v>24</v>
      </c>
      <c r="I13" s="15"/>
      <c r="J13" cm="1">
        <f t="array" ref="J13">INDEX(K:Q,ROW(),$J$1)</f>
        <v>1</v>
      </c>
      <c r="K13" s="6">
        <v>1</v>
      </c>
      <c r="L13" s="6">
        <v>1</v>
      </c>
      <c r="M13">
        <v>1</v>
      </c>
      <c r="N13">
        <v>1</v>
      </c>
    </row>
    <row r="14" spans="3:17" ht="16.8" hidden="1">
      <c r="C14" t="s">
        <v>66</v>
      </c>
      <c r="D14" s="15">
        <f>SUM($J$2:J14)</f>
        <v>8</v>
      </c>
      <c r="E14" s="16" t="s">
        <v>56</v>
      </c>
      <c r="F14" s="17">
        <v>44015</v>
      </c>
      <c r="G14" s="17">
        <v>43954</v>
      </c>
      <c r="H14" s="15" t="s">
        <v>24</v>
      </c>
      <c r="I14" s="15"/>
      <c r="J14" cm="1">
        <f t="array" ref="J14">INDEX(K:Q,ROW(),$J$1)</f>
        <v>0</v>
      </c>
      <c r="K14" s="6">
        <v>1</v>
      </c>
      <c r="L14" s="6">
        <v>1</v>
      </c>
      <c r="M14">
        <v>1</v>
      </c>
    </row>
    <row r="15" spans="3:17" ht="16.8" hidden="1">
      <c r="C15" t="s">
        <v>66</v>
      </c>
      <c r="D15" s="15">
        <f>SUM($J$2:J15)</f>
        <v>8</v>
      </c>
      <c r="E15" s="16" t="s">
        <v>32</v>
      </c>
      <c r="F15" s="17">
        <v>44015</v>
      </c>
      <c r="G15" s="17">
        <v>43955</v>
      </c>
      <c r="H15" s="15" t="s">
        <v>24</v>
      </c>
      <c r="I15" s="15"/>
      <c r="J15" cm="1">
        <f t="array" ref="J15">INDEX(K:Q,ROW(),$J$1)</f>
        <v>0</v>
      </c>
      <c r="K15" s="6">
        <v>1</v>
      </c>
      <c r="L15" s="6">
        <v>1</v>
      </c>
      <c r="M15">
        <v>1</v>
      </c>
    </row>
    <row r="16" spans="3:17" ht="16.8" hidden="1">
      <c r="C16" t="s">
        <v>66</v>
      </c>
      <c r="D16" s="15">
        <f>SUM($J$2:J16)</f>
        <v>8</v>
      </c>
      <c r="E16" s="16" t="s">
        <v>73</v>
      </c>
      <c r="F16" s="17">
        <v>44015</v>
      </c>
      <c r="G16" s="17">
        <v>43955</v>
      </c>
      <c r="H16" s="15" t="s">
        <v>24</v>
      </c>
      <c r="I16" s="15"/>
      <c r="J16" cm="1">
        <f t="array" ref="J16">INDEX(K:Q,ROW(),$J$1)</f>
        <v>0</v>
      </c>
      <c r="K16" s="6">
        <v>1</v>
      </c>
      <c r="L16" s="6">
        <v>1</v>
      </c>
    </row>
    <row r="17" spans="3:14" ht="16.8" hidden="1">
      <c r="C17" t="s">
        <v>66</v>
      </c>
      <c r="D17" s="15">
        <f>SUM($J$2:J17)</f>
        <v>8</v>
      </c>
      <c r="E17" s="16" t="s">
        <v>58</v>
      </c>
      <c r="F17" s="17">
        <v>44015</v>
      </c>
      <c r="G17" s="17">
        <v>43954</v>
      </c>
      <c r="H17" s="15" t="s">
        <v>24</v>
      </c>
      <c r="I17" s="15"/>
      <c r="J17" cm="1">
        <f t="array" ref="J17">INDEX(K:Q,ROW(),$J$1)</f>
        <v>0</v>
      </c>
      <c r="K17" s="6">
        <v>1</v>
      </c>
      <c r="L17" s="6">
        <v>1</v>
      </c>
    </row>
    <row r="18" spans="3:14" ht="16.8" hidden="1">
      <c r="C18" t="s">
        <v>66</v>
      </c>
      <c r="D18" s="15">
        <f>SUM($J$2:J18)</f>
        <v>8</v>
      </c>
      <c r="E18" s="16" t="s">
        <v>62</v>
      </c>
      <c r="F18" s="17">
        <v>44015</v>
      </c>
      <c r="G18" s="17">
        <v>43956</v>
      </c>
      <c r="H18" s="15" t="s">
        <v>24</v>
      </c>
      <c r="I18" s="15"/>
      <c r="J18" cm="1">
        <f t="array" ref="J18">INDEX(K:Q,ROW(),$J$1)</f>
        <v>0</v>
      </c>
      <c r="K18" s="6">
        <v>1</v>
      </c>
      <c r="L18" s="6">
        <v>1</v>
      </c>
    </row>
    <row r="19" spans="3:14" ht="16.8">
      <c r="C19" t="s">
        <v>66</v>
      </c>
      <c r="D19" s="15">
        <f>SUM($J$2:J19)</f>
        <v>9</v>
      </c>
      <c r="E19" s="16" t="s">
        <v>40</v>
      </c>
      <c r="F19" s="17">
        <v>44015</v>
      </c>
      <c r="G19" s="17">
        <v>43954</v>
      </c>
      <c r="H19" s="15" t="s">
        <v>24</v>
      </c>
      <c r="I19" s="15"/>
      <c r="J19" cm="1">
        <f t="array" ref="J19">INDEX(K:Q,ROW(),$J$1)</f>
        <v>1</v>
      </c>
      <c r="K19" s="6">
        <v>1</v>
      </c>
      <c r="L19" s="6">
        <v>1</v>
      </c>
      <c r="M19">
        <v>1</v>
      </c>
      <c r="N19">
        <v>1</v>
      </c>
    </row>
    <row r="20" spans="3:14" ht="16.8" hidden="1">
      <c r="C20" t="s">
        <v>66</v>
      </c>
      <c r="D20" s="15">
        <f>SUM($J$2:J20)</f>
        <v>9</v>
      </c>
      <c r="E20" s="16" t="s">
        <v>68</v>
      </c>
      <c r="F20" s="17">
        <v>44015</v>
      </c>
      <c r="G20" s="17">
        <v>43955</v>
      </c>
      <c r="H20" s="15" t="s">
        <v>24</v>
      </c>
      <c r="I20" s="15"/>
      <c r="J20" cm="1">
        <f t="array" ref="J20">INDEX(K:Q,ROW(),$J$1)</f>
        <v>0</v>
      </c>
      <c r="K20" s="6">
        <v>1</v>
      </c>
      <c r="L20" s="6">
        <v>1</v>
      </c>
      <c r="M20">
        <v>1</v>
      </c>
    </row>
    <row r="21" spans="3:14" ht="16.8">
      <c r="C21" t="s">
        <v>66</v>
      </c>
      <c r="D21" s="15">
        <f>SUM($J$2:J21)</f>
        <v>10</v>
      </c>
      <c r="E21" s="16" t="s">
        <v>45</v>
      </c>
      <c r="F21" s="17">
        <v>44015</v>
      </c>
      <c r="G21" s="17">
        <v>43954</v>
      </c>
      <c r="H21" s="15" t="s">
        <v>24</v>
      </c>
      <c r="I21" s="15"/>
      <c r="J21" cm="1">
        <f t="array" ref="J21">INDEX(K:Q,ROW(),$J$1)</f>
        <v>1</v>
      </c>
      <c r="K21" s="6">
        <v>1</v>
      </c>
      <c r="L21" s="6">
        <v>1</v>
      </c>
      <c r="M21">
        <v>1</v>
      </c>
      <c r="N21">
        <v>1</v>
      </c>
    </row>
    <row r="22" spans="3:14" ht="16.8" hidden="1">
      <c r="C22" t="s">
        <v>66</v>
      </c>
      <c r="D22" s="15">
        <f>SUM($J$2:J22)</f>
        <v>10</v>
      </c>
      <c r="E22" s="16" t="s">
        <v>48</v>
      </c>
      <c r="F22" s="17">
        <v>44015</v>
      </c>
      <c r="G22" s="17">
        <v>43954</v>
      </c>
      <c r="H22" s="15" t="s">
        <v>24</v>
      </c>
      <c r="I22" s="15"/>
      <c r="J22" cm="1">
        <f t="array" ref="J22">INDEX(K:Q,ROW(),$J$1)</f>
        <v>0</v>
      </c>
      <c r="K22" s="6">
        <v>1</v>
      </c>
      <c r="L22" s="6">
        <v>1</v>
      </c>
      <c r="M22">
        <v>1</v>
      </c>
    </row>
    <row r="23" spans="3:14" ht="16.8" hidden="1">
      <c r="C23" t="s">
        <v>66</v>
      </c>
      <c r="D23" s="15">
        <f>SUM($J$2:J23)</f>
        <v>10</v>
      </c>
      <c r="E23" s="16" t="s">
        <v>54</v>
      </c>
      <c r="F23" s="17">
        <v>44015</v>
      </c>
      <c r="G23" s="17">
        <v>43954</v>
      </c>
      <c r="H23" s="15" t="s">
        <v>24</v>
      </c>
      <c r="I23" s="15"/>
      <c r="J23" cm="1">
        <f t="array" ref="J23">INDEX(K:Q,ROW(),$J$1)</f>
        <v>0</v>
      </c>
      <c r="K23" s="6">
        <v>1</v>
      </c>
      <c r="L23" s="6">
        <v>1</v>
      </c>
      <c r="M23">
        <v>1</v>
      </c>
    </row>
    <row r="24" spans="3:14" ht="16.8" hidden="1">
      <c r="D24" s="15">
        <f>SUM($J$2:J24)</f>
        <v>10</v>
      </c>
      <c r="E24" s="16" t="s">
        <v>23</v>
      </c>
      <c r="F24" s="17">
        <v>44016</v>
      </c>
      <c r="G24" s="17"/>
      <c r="H24" s="15" t="s">
        <v>24</v>
      </c>
      <c r="I24" s="15"/>
      <c r="J24" cm="1">
        <f t="array" ref="J24">INDEX(K:Q,ROW(),$J$1)</f>
        <v>0</v>
      </c>
      <c r="K24" s="6"/>
      <c r="L24" s="6"/>
    </row>
    <row r="25" spans="3:14" ht="16.8" hidden="1">
      <c r="D25" s="15">
        <f>SUM($J$2:J25)</f>
        <v>10</v>
      </c>
      <c r="E25" s="16" t="s">
        <v>30</v>
      </c>
      <c r="F25" s="17">
        <v>44014</v>
      </c>
      <c r="G25" s="17"/>
      <c r="H25" s="15" t="s">
        <v>24</v>
      </c>
      <c r="I25" s="15"/>
      <c r="J25" cm="1">
        <f t="array" ref="J25">INDEX(K:Q,ROW(),$J$1)</f>
        <v>0</v>
      </c>
    </row>
    <row r="26" spans="3:14" ht="16.8" hidden="1">
      <c r="D26" s="15">
        <f>SUM($J$2:J26)</f>
        <v>10</v>
      </c>
      <c r="E26" s="16" t="s">
        <v>31</v>
      </c>
      <c r="F26" s="17">
        <v>44016</v>
      </c>
      <c r="G26" s="17">
        <v>43956</v>
      </c>
      <c r="H26" s="15" t="s">
        <v>24</v>
      </c>
      <c r="I26" s="15"/>
      <c r="J26" cm="1">
        <f t="array" ref="J26">INDEX(K:Q,ROW(),$J$1)</f>
        <v>0</v>
      </c>
      <c r="L26">
        <v>1</v>
      </c>
    </row>
    <row r="27" spans="3:14" ht="16.8" hidden="1">
      <c r="D27" s="15">
        <f>SUM($J$2:J27)</f>
        <v>10</v>
      </c>
      <c r="E27" s="16" t="s">
        <v>33</v>
      </c>
      <c r="F27" s="17">
        <v>44016</v>
      </c>
      <c r="G27" s="17">
        <v>43955</v>
      </c>
      <c r="H27" s="15" t="s">
        <v>24</v>
      </c>
      <c r="I27" s="15"/>
      <c r="J27" cm="1">
        <f t="array" ref="J27">INDEX(K:Q,ROW(),$J$1)</f>
        <v>0</v>
      </c>
      <c r="L27">
        <v>1</v>
      </c>
    </row>
    <row r="28" spans="3:14" ht="16.8" hidden="1">
      <c r="D28" s="15">
        <f>SUM($J$2:J28)</f>
        <v>10</v>
      </c>
      <c r="E28" s="16" t="s">
        <v>34</v>
      </c>
      <c r="F28" s="17">
        <v>44014</v>
      </c>
      <c r="G28" s="17"/>
      <c r="H28" s="15" t="s">
        <v>24</v>
      </c>
      <c r="I28" s="15"/>
      <c r="J28" cm="1">
        <f t="array" ref="J28">INDEX(K:Q,ROW(),$J$1)</f>
        <v>0</v>
      </c>
    </row>
    <row r="29" spans="3:14" ht="16.8" hidden="1">
      <c r="D29" s="15">
        <f>SUM($J$2:J29)</f>
        <v>10</v>
      </c>
      <c r="E29" s="16" t="s">
        <v>78</v>
      </c>
      <c r="F29" s="17"/>
      <c r="G29" s="17"/>
      <c r="H29" s="15" t="s">
        <v>79</v>
      </c>
      <c r="I29" s="15"/>
      <c r="J29" cm="1">
        <f t="array" ref="J29">INDEX(K:Q,ROW(),$J$1)</f>
        <v>0</v>
      </c>
    </row>
    <row r="30" spans="3:14" ht="16.8" hidden="1">
      <c r="D30" s="15">
        <f>SUM($J$2:J30)</f>
        <v>10</v>
      </c>
      <c r="E30" s="16" t="s">
        <v>36</v>
      </c>
      <c r="F30" s="17">
        <v>44014</v>
      </c>
      <c r="G30" s="17"/>
      <c r="H30" s="15" t="s">
        <v>24</v>
      </c>
      <c r="I30" s="15"/>
      <c r="J30" cm="1">
        <f t="array" ref="J30">INDEX(K:Q,ROW(),$J$1)</f>
        <v>0</v>
      </c>
    </row>
    <row r="31" spans="3:14" ht="16.8" hidden="1">
      <c r="D31" s="15">
        <f>SUM($J$2:J31)</f>
        <v>10</v>
      </c>
      <c r="E31" s="16" t="s">
        <v>37</v>
      </c>
      <c r="F31" s="17">
        <v>44014</v>
      </c>
      <c r="G31" s="17"/>
      <c r="H31" s="15" t="s">
        <v>24</v>
      </c>
      <c r="I31" s="15"/>
      <c r="J31" cm="1">
        <f t="array" ref="J31">INDEX(K:Q,ROW(),$J$1)</f>
        <v>0</v>
      </c>
    </row>
    <row r="32" spans="3:14" ht="16.8" hidden="1">
      <c r="D32" s="15">
        <f>SUM($J$2:J32)</f>
        <v>10</v>
      </c>
      <c r="E32" s="16" t="s">
        <v>42</v>
      </c>
      <c r="F32" s="17">
        <v>44014</v>
      </c>
      <c r="G32" s="17"/>
      <c r="H32" s="15" t="s">
        <v>24</v>
      </c>
      <c r="I32" s="15"/>
      <c r="J32" cm="1">
        <f t="array" ref="J32">INDEX(K:Q,ROW(),$J$1)</f>
        <v>0</v>
      </c>
    </row>
    <row r="33" spans="4:12" ht="16.8" hidden="1">
      <c r="D33" s="15">
        <f>SUM($J$2:J33)</f>
        <v>10</v>
      </c>
      <c r="E33" s="16" t="s">
        <v>43</v>
      </c>
      <c r="F33" s="17">
        <v>44014</v>
      </c>
      <c r="G33" s="17"/>
      <c r="H33" s="15" t="s">
        <v>24</v>
      </c>
      <c r="I33" s="15"/>
      <c r="J33" cm="1">
        <f t="array" ref="J33">INDEX(K:Q,ROW(),$J$1)</f>
        <v>0</v>
      </c>
    </row>
    <row r="34" spans="4:12" ht="16.8" hidden="1">
      <c r="D34" s="15">
        <f>SUM($J$2:J34)</f>
        <v>10</v>
      </c>
      <c r="E34" s="16" t="s">
        <v>44</v>
      </c>
      <c r="F34" s="17">
        <v>44015</v>
      </c>
      <c r="G34" s="17"/>
      <c r="H34" s="15" t="s">
        <v>24</v>
      </c>
      <c r="I34" s="15"/>
      <c r="J34" cm="1">
        <f t="array" ref="J34">INDEX(K:Q,ROW(),$J$1)</f>
        <v>0</v>
      </c>
    </row>
    <row r="35" spans="4:12" ht="16.8" hidden="1">
      <c r="D35" s="15">
        <f>SUM($J$2:J35)</f>
        <v>10</v>
      </c>
      <c r="E35" s="16" t="s">
        <v>47</v>
      </c>
      <c r="F35" s="17"/>
      <c r="G35" s="17">
        <v>43955</v>
      </c>
      <c r="H35" s="15" t="s">
        <v>79</v>
      </c>
      <c r="I35" s="15"/>
      <c r="J35" cm="1">
        <f t="array" ref="J35">INDEX(K:Q,ROW(),$J$1)</f>
        <v>0</v>
      </c>
      <c r="K35">
        <v>1</v>
      </c>
      <c r="L35">
        <v>1</v>
      </c>
    </row>
    <row r="36" spans="4:12" ht="16.8" hidden="1">
      <c r="D36" s="15">
        <f>SUM($J$2:J36)</f>
        <v>10</v>
      </c>
      <c r="E36" s="16" t="s">
        <v>50</v>
      </c>
      <c r="F36" s="17">
        <v>44014</v>
      </c>
      <c r="G36" s="17"/>
      <c r="H36" s="15" t="s">
        <v>24</v>
      </c>
      <c r="I36" s="15"/>
      <c r="J36" cm="1">
        <f t="array" ref="J36">INDEX(K:Q,ROW(),$J$1)</f>
        <v>0</v>
      </c>
    </row>
    <row r="37" spans="4:12" ht="16.8" hidden="1">
      <c r="D37" s="15">
        <f>SUM($J$2:J37)</f>
        <v>10</v>
      </c>
      <c r="E37" s="16" t="s">
        <v>51</v>
      </c>
      <c r="F37" s="17"/>
      <c r="G37" s="17"/>
      <c r="H37" s="15"/>
      <c r="I37" s="15"/>
      <c r="J37" cm="1">
        <f t="array" ref="J37">INDEX(K:Q,ROW(),$J$1)</f>
        <v>0</v>
      </c>
    </row>
    <row r="38" spans="4:12" ht="16.8" hidden="1">
      <c r="D38" s="15">
        <f>SUM($J$2:J38)</f>
        <v>10</v>
      </c>
      <c r="E38" s="16" t="s">
        <v>52</v>
      </c>
      <c r="F38" s="17">
        <v>44014</v>
      </c>
      <c r="G38" s="17"/>
      <c r="H38" s="15" t="s">
        <v>24</v>
      </c>
      <c r="I38" s="15"/>
      <c r="J38" cm="1">
        <f t="array" ref="J38">INDEX(K:Q,ROW(),$J$1)</f>
        <v>0</v>
      </c>
    </row>
    <row r="39" spans="4:12" ht="16.8" hidden="1">
      <c r="D39" s="15">
        <f>SUM($J$2:J39)</f>
        <v>10</v>
      </c>
      <c r="E39" s="16" t="s">
        <v>53</v>
      </c>
      <c r="F39" s="17"/>
      <c r="G39" s="17"/>
      <c r="H39" s="15"/>
      <c r="I39" s="15"/>
      <c r="J39" cm="1">
        <f t="array" ref="J39">INDEX(K:Q,ROW(),$J$1)</f>
        <v>0</v>
      </c>
    </row>
    <row r="40" spans="4:12" ht="16.8" hidden="1">
      <c r="D40" s="15">
        <f>SUM($J$2:J40)</f>
        <v>10</v>
      </c>
      <c r="E40" s="16" t="s">
        <v>55</v>
      </c>
      <c r="F40" s="17">
        <v>44016</v>
      </c>
      <c r="G40" s="17">
        <v>43955</v>
      </c>
      <c r="H40" s="15" t="s">
        <v>24</v>
      </c>
      <c r="I40" s="15"/>
      <c r="J40" cm="1">
        <f t="array" ref="J40">INDEX(K:Q,ROW(),$J$1)</f>
        <v>0</v>
      </c>
      <c r="L40">
        <v>1</v>
      </c>
    </row>
    <row r="41" spans="4:12" ht="16.8" hidden="1">
      <c r="D41" s="15">
        <f>SUM($J$2:J41)</f>
        <v>10</v>
      </c>
      <c r="E41" s="16" t="s">
        <v>57</v>
      </c>
      <c r="F41" s="17">
        <v>44015</v>
      </c>
      <c r="G41" s="17"/>
      <c r="H41" s="15" t="s">
        <v>24</v>
      </c>
      <c r="I41" s="15"/>
      <c r="J41" cm="1">
        <f t="array" ref="J41">INDEX(K:Q,ROW(),$J$1)</f>
        <v>0</v>
      </c>
    </row>
    <row r="42" spans="4:12" ht="16.8" hidden="1">
      <c r="D42" s="15">
        <f>SUM($J$2:J42)</f>
        <v>10</v>
      </c>
      <c r="E42" s="16" t="s">
        <v>59</v>
      </c>
      <c r="F42" s="17">
        <v>44014</v>
      </c>
      <c r="G42" s="17"/>
      <c r="H42" s="15" t="s">
        <v>24</v>
      </c>
      <c r="I42" s="15"/>
      <c r="J42" cm="1">
        <f t="array" ref="J42">INDEX(K:Q,ROW(),$J$1)</f>
        <v>0</v>
      </c>
    </row>
    <row r="43" spans="4:12" ht="16.8" hidden="1">
      <c r="D43" s="15">
        <f>SUM($J$2:J43)</f>
        <v>10</v>
      </c>
      <c r="E43" s="16" t="s">
        <v>60</v>
      </c>
      <c r="F43" s="17">
        <v>44014</v>
      </c>
      <c r="G43" s="17"/>
      <c r="H43" s="15" t="s">
        <v>24</v>
      </c>
      <c r="I43" s="15"/>
      <c r="J43" cm="1">
        <f t="array" ref="J43">INDEX(K:Q,ROW(),$J$1)</f>
        <v>0</v>
      </c>
    </row>
    <row r="44" spans="4:12" ht="16.8" hidden="1">
      <c r="D44" s="15">
        <f>SUM($J$2:J44)</f>
        <v>10</v>
      </c>
      <c r="E44" s="16" t="s">
        <v>61</v>
      </c>
      <c r="F44" s="17">
        <v>44014</v>
      </c>
      <c r="G44" s="17"/>
      <c r="H44" s="15" t="s">
        <v>24</v>
      </c>
      <c r="I44" s="15"/>
      <c r="J44" cm="1">
        <f t="array" ref="J44">INDEX(K:Q,ROW(),$J$1)</f>
        <v>0</v>
      </c>
    </row>
    <row r="45" spans="4:12" ht="16.8" hidden="1">
      <c r="D45" s="15">
        <f>SUM($J$2:J45)</f>
        <v>10</v>
      </c>
      <c r="E45" s="16" t="s">
        <v>64</v>
      </c>
      <c r="F45" s="17">
        <v>44014</v>
      </c>
      <c r="G45" s="17"/>
      <c r="H45" s="15" t="s">
        <v>24</v>
      </c>
      <c r="I45" s="15"/>
      <c r="J45" cm="1">
        <f t="array" ref="J45">INDEX(K:Q,ROW(),$J$1)</f>
        <v>0</v>
      </c>
    </row>
    <row r="46" spans="4:12" ht="16.8" hidden="1">
      <c r="D46" s="15">
        <f>SUM($J$2:J46)</f>
        <v>10</v>
      </c>
      <c r="E46" s="16" t="s">
        <v>65</v>
      </c>
      <c r="F46" s="17">
        <v>44014</v>
      </c>
      <c r="G46" s="17"/>
      <c r="H46" s="15" t="s">
        <v>24</v>
      </c>
      <c r="I46" s="15" t="s">
        <v>66</v>
      </c>
      <c r="J46" cm="1">
        <f t="array" ref="J46">INDEX(K:Q,ROW(),$J$1)</f>
        <v>0</v>
      </c>
    </row>
    <row r="47" spans="4:12" ht="16.8" hidden="1">
      <c r="D47" s="15">
        <f>SUM($J$2:J47)</f>
        <v>10</v>
      </c>
      <c r="E47" s="16" t="s">
        <v>67</v>
      </c>
      <c r="F47" s="17">
        <v>44014</v>
      </c>
      <c r="G47" s="17"/>
      <c r="H47" s="15" t="s">
        <v>24</v>
      </c>
      <c r="I47" s="15"/>
      <c r="J47" cm="1">
        <f t="array" ref="J47">INDEX(K:Q,ROW(),$J$1)</f>
        <v>0</v>
      </c>
    </row>
    <row r="48" spans="4:12" ht="16.8" hidden="1">
      <c r="D48" s="15">
        <f>SUM($J$2:J48)</f>
        <v>10</v>
      </c>
      <c r="E48" s="16" t="s">
        <v>69</v>
      </c>
      <c r="F48" s="17">
        <v>44014</v>
      </c>
      <c r="G48" s="17"/>
      <c r="H48" s="15" t="s">
        <v>24</v>
      </c>
      <c r="I48" s="15" t="s">
        <v>66</v>
      </c>
      <c r="J48" cm="1">
        <f t="array" ref="J48">INDEX(K:Q,ROW(),$J$1)</f>
        <v>0</v>
      </c>
    </row>
    <row r="49" spans="4:12" ht="16.8" hidden="1">
      <c r="D49" s="15">
        <f>SUM($J$2:J49)</f>
        <v>10</v>
      </c>
      <c r="E49" s="16" t="s">
        <v>70</v>
      </c>
      <c r="F49" s="17">
        <v>44014</v>
      </c>
      <c r="G49" s="17"/>
      <c r="H49" s="15" t="s">
        <v>24</v>
      </c>
      <c r="I49" s="15"/>
      <c r="J49" cm="1">
        <f t="array" ref="J49">INDEX(K:Q,ROW(),$J$1)</f>
        <v>0</v>
      </c>
    </row>
    <row r="50" spans="4:12" ht="16.8" hidden="1">
      <c r="D50" s="15">
        <f>SUM($J$2:J50)</f>
        <v>10</v>
      </c>
      <c r="E50" s="16" t="s">
        <v>71</v>
      </c>
      <c r="F50" s="17">
        <v>44014</v>
      </c>
      <c r="G50" s="17"/>
      <c r="H50" s="15" t="s">
        <v>24</v>
      </c>
      <c r="I50" s="15"/>
      <c r="J50" cm="1">
        <f t="array" ref="J50">INDEX(K:Q,ROW(),$J$1)</f>
        <v>0</v>
      </c>
    </row>
    <row r="51" spans="4:12" ht="16.8" hidden="1">
      <c r="D51" s="15">
        <f>SUM($J$2:J51)</f>
        <v>10</v>
      </c>
      <c r="E51" s="16" t="s">
        <v>72</v>
      </c>
      <c r="F51" s="17">
        <v>44014</v>
      </c>
      <c r="G51" s="17"/>
      <c r="H51" s="15" t="s">
        <v>24</v>
      </c>
      <c r="I51" s="15"/>
      <c r="J51" cm="1">
        <f t="array" ref="J51">INDEX(K:Q,ROW(),$J$1)</f>
        <v>0</v>
      </c>
    </row>
    <row r="52" spans="4:12" ht="16.8" hidden="1">
      <c r="D52" s="15">
        <f>SUM($J$2:J52)</f>
        <v>10</v>
      </c>
      <c r="E52" s="16" t="s">
        <v>75</v>
      </c>
      <c r="F52" s="17">
        <v>44017</v>
      </c>
      <c r="G52" s="17">
        <v>43956</v>
      </c>
      <c r="H52" s="15" t="s">
        <v>24</v>
      </c>
      <c r="I52" s="15"/>
      <c r="J52" cm="1">
        <f t="array" ref="J52">INDEX(K:Q,ROW(),$J$1)</f>
        <v>0</v>
      </c>
      <c r="L52">
        <v>1</v>
      </c>
    </row>
    <row r="53" spans="4:12" ht="16.8" hidden="1">
      <c r="D53" s="15">
        <f>SUM($J$2:J53)</f>
        <v>10</v>
      </c>
      <c r="E53" s="16" t="s">
        <v>76</v>
      </c>
      <c r="F53" s="17"/>
      <c r="G53" s="17"/>
      <c r="H53" s="15" t="s">
        <v>77</v>
      </c>
      <c r="I53" s="15"/>
      <c r="J53" cm="1">
        <f t="array" ref="J53">INDEX(K:Q,ROW(),$J$1)</f>
        <v>0</v>
      </c>
    </row>
    <row r="54" spans="4:12" ht="16.8" hidden="1">
      <c r="D54" s="15">
        <f>SUM($J$2:J54)</f>
        <v>10</v>
      </c>
      <c r="E54" s="16" t="s">
        <v>26</v>
      </c>
      <c r="F54" s="17"/>
      <c r="G54" s="17"/>
      <c r="H54" s="15" t="s">
        <v>27</v>
      </c>
      <c r="I54" s="15"/>
      <c r="J54" cm="1">
        <f t="array" ref="J54">INDEX(K:Q,ROW(),$J$1)</f>
        <v>0</v>
      </c>
    </row>
    <row r="55" spans="4:12" ht="16.8" hidden="1">
      <c r="D55" s="15">
        <f>SUM($J$2:J55)</f>
        <v>10</v>
      </c>
      <c r="E55" s="16" t="s">
        <v>80</v>
      </c>
      <c r="F55" s="17">
        <v>44016</v>
      </c>
      <c r="G55" s="17">
        <v>43955</v>
      </c>
      <c r="H55" s="15" t="s">
        <v>24</v>
      </c>
      <c r="I55" s="15"/>
      <c r="J55" cm="1">
        <f t="array" ref="J55">INDEX(K:Q,ROW(),$J$1)</f>
        <v>0</v>
      </c>
      <c r="L55">
        <v>1</v>
      </c>
    </row>
  </sheetData>
  <autoFilter ref="C1:Q55" xr:uid="{00000000-0009-0000-0000-000003000000}">
    <filterColumn colId="7">
      <customFilters>
        <customFilter operator="notEqual" val=" "/>
      </customFilters>
    </filterColumn>
  </autoFilter>
  <conditionalFormatting sqref="E11">
    <cfRule type="duplicateValues" dxfId="27" priority="6"/>
  </conditionalFormatting>
  <conditionalFormatting sqref="E53:E54">
    <cfRule type="duplicateValues" dxfId="26" priority="5"/>
  </conditionalFormatting>
  <conditionalFormatting sqref="E55">
    <cfRule type="duplicateValues" dxfId="25" priority="4"/>
  </conditionalFormatting>
  <conditionalFormatting sqref="E12:E52 E1:E2 E4:E10">
    <cfRule type="duplicateValues" dxfId="24" priority="7"/>
  </conditionalFormatting>
  <conditionalFormatting sqref="E4:E1048576 E1:E2">
    <cfRule type="duplicateValues" dxfId="23" priority="3"/>
  </conditionalFormatting>
  <conditionalFormatting sqref="E3">
    <cfRule type="duplicateValues" dxfId="22" priority="2"/>
  </conditionalFormatting>
  <conditionalFormatting sqref="E3">
    <cfRule type="duplicateValues" dxfId="2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10"/>
  <sheetViews>
    <sheetView tabSelected="1" workbookViewId="0">
      <pane ySplit="2" topLeftCell="A55" activePane="bottomLeft" state="frozen"/>
      <selection activeCell="B1" sqref="B1"/>
      <selection pane="bottomLeft" activeCell="F57" sqref="F57"/>
    </sheetView>
  </sheetViews>
  <sheetFormatPr defaultRowHeight="14.4"/>
  <cols>
    <col min="1" max="1" width="6.33203125" customWidth="1"/>
    <col min="2" max="2" width="18.33203125" customWidth="1"/>
    <col min="3" max="3" width="16.6640625" style="44" customWidth="1"/>
    <col min="4" max="4" width="17.44140625" customWidth="1"/>
    <col min="5" max="5" width="31" customWidth="1"/>
    <col min="6" max="6" width="56.5546875" style="45" customWidth="1"/>
    <col min="7" max="7" width="41.88671875" style="48" customWidth="1"/>
    <col min="8" max="8" width="19.109375" customWidth="1"/>
    <col min="9" max="9" width="27.44140625" style="60" customWidth="1"/>
    <col min="10" max="10" width="18" customWidth="1"/>
    <col min="11" max="11" width="39.6640625" style="45" customWidth="1"/>
    <col min="12" max="12" width="39.6640625" customWidth="1"/>
    <col min="13" max="13" width="19.109375" customWidth="1"/>
    <col min="14" max="14" width="12.5546875" style="26" customWidth="1"/>
    <col min="15" max="15" width="36.6640625" style="26" customWidth="1"/>
    <col min="16" max="16" width="21.88671875" style="26" customWidth="1"/>
    <col min="17" max="17" width="43.88671875" style="26" bestFit="1" customWidth="1"/>
    <col min="18" max="18" width="15.33203125" style="35" customWidth="1"/>
    <col min="19" max="19" width="19.33203125" bestFit="1" customWidth="1"/>
    <col min="20" max="20" width="7.33203125" customWidth="1"/>
    <col min="21" max="21" width="19.33203125" style="26" customWidth="1"/>
    <col min="22" max="22" width="41.6640625" style="26" customWidth="1"/>
    <col min="23" max="23" width="25" style="26" customWidth="1"/>
    <col min="24" max="24" width="12.5546875" style="26" customWidth="1"/>
  </cols>
  <sheetData>
    <row r="1" spans="1:24" s="36" customFormat="1" ht="28.8">
      <c r="A1" s="36" t="s">
        <v>66</v>
      </c>
      <c r="B1" s="36" t="s">
        <v>331</v>
      </c>
      <c r="C1" s="49" t="s">
        <v>225</v>
      </c>
      <c r="D1" s="36" t="s">
        <v>273</v>
      </c>
      <c r="E1" s="36" t="s">
        <v>131</v>
      </c>
      <c r="F1" s="36" t="s">
        <v>2</v>
      </c>
      <c r="G1" s="9" t="s">
        <v>232</v>
      </c>
      <c r="H1" s="36" t="s">
        <v>204</v>
      </c>
      <c r="I1" s="36" t="s">
        <v>147</v>
      </c>
      <c r="J1" s="36" t="s">
        <v>88</v>
      </c>
      <c r="K1" s="36" t="s">
        <v>178</v>
      </c>
      <c r="L1" s="36" t="s">
        <v>179</v>
      </c>
      <c r="M1" s="36" t="s">
        <v>206</v>
      </c>
      <c r="N1" s="37" t="s">
        <v>205</v>
      </c>
      <c r="O1" s="37" t="s">
        <v>233</v>
      </c>
      <c r="P1" s="37" t="s">
        <v>148</v>
      </c>
      <c r="Q1" s="37" t="s">
        <v>130</v>
      </c>
      <c r="R1" s="38" t="s">
        <v>132</v>
      </c>
      <c r="S1" s="36" t="s">
        <v>133</v>
      </c>
      <c r="T1" s="36" t="s">
        <v>134</v>
      </c>
      <c r="U1" s="37" t="s">
        <v>146</v>
      </c>
      <c r="V1" s="37" t="s">
        <v>6</v>
      </c>
      <c r="W1" s="37" t="s">
        <v>88</v>
      </c>
      <c r="X1" s="37" t="s">
        <v>89</v>
      </c>
    </row>
    <row r="2" spans="1:24" s="36" customFormat="1" ht="24" customHeight="1">
      <c r="A2" s="36">
        <f>COLUMN()</f>
        <v>1</v>
      </c>
      <c r="C2" s="49" t="s">
        <v>275</v>
      </c>
      <c r="E2" s="36">
        <f>COLUMN()</f>
        <v>5</v>
      </c>
      <c r="F2" s="36">
        <f>COLUMN()</f>
        <v>6</v>
      </c>
      <c r="G2" s="9">
        <f>COLUMN()</f>
        <v>7</v>
      </c>
      <c r="H2" s="36">
        <f>COLUMN()</f>
        <v>8</v>
      </c>
      <c r="I2" s="36">
        <f>COLUMN()</f>
        <v>9</v>
      </c>
      <c r="K2" s="36">
        <f>COLUMN()</f>
        <v>11</v>
      </c>
      <c r="L2" s="36">
        <f>COLUMN()</f>
        <v>12</v>
      </c>
      <c r="M2" s="36">
        <f>COLUMN()</f>
        <v>13</v>
      </c>
      <c r="N2" s="36">
        <f>COLUMN()</f>
        <v>14</v>
      </c>
      <c r="O2" s="37">
        <f>COLUMN()</f>
        <v>15</v>
      </c>
      <c r="P2" s="36">
        <f>COLUMN()</f>
        <v>16</v>
      </c>
      <c r="Q2" s="36">
        <f>COLUMN()</f>
        <v>17</v>
      </c>
      <c r="R2" s="36">
        <f>COLUMN()</f>
        <v>18</v>
      </c>
      <c r="S2" s="36">
        <f>COLUMN()</f>
        <v>19</v>
      </c>
      <c r="T2" s="36">
        <f>COLUMN()</f>
        <v>20</v>
      </c>
      <c r="U2" s="36">
        <f>COLUMN()</f>
        <v>21</v>
      </c>
      <c r="V2" s="36">
        <f>COLUMN()</f>
        <v>22</v>
      </c>
      <c r="W2" s="36">
        <f>COLUMN()</f>
        <v>23</v>
      </c>
      <c r="X2" s="36">
        <f>COLUMN()</f>
        <v>24</v>
      </c>
    </row>
    <row r="3" spans="1:24" s="36" customFormat="1">
      <c r="C3" s="49"/>
      <c r="G3" s="9"/>
      <c r="I3" s="58"/>
      <c r="O3" s="37"/>
    </row>
    <row r="4" spans="1:24" s="36" customFormat="1" ht="57.6">
      <c r="B4" s="36" t="s">
        <v>371</v>
      </c>
      <c r="C4" s="56">
        <v>44259</v>
      </c>
      <c r="D4" s="41" t="s">
        <v>46</v>
      </c>
      <c r="E4" s="41" t="s">
        <v>372</v>
      </c>
      <c r="F4" s="41" t="s">
        <v>373</v>
      </c>
      <c r="G4" s="50" t="s">
        <v>374</v>
      </c>
      <c r="H4" s="36" t="s">
        <v>231</v>
      </c>
      <c r="I4" s="53" t="str">
        <f>"FCO + MCCB TBA "&amp;H4</f>
        <v xml:space="preserve">FCO + MCCB TBA Từ 07 giờ 30 phút – 15 giờ 00 phút. </v>
      </c>
      <c r="J4" s="6" t="s">
        <v>149</v>
      </c>
      <c r="K4" s="41" t="str">
        <f>"Cắt "&amp;I4</f>
        <v xml:space="preserve">Cắt FCO + MCCB TBA Từ 07 giờ 30 phút – 15 giờ 00 phút. </v>
      </c>
      <c r="L4" s="41" t="str">
        <f>"Tiếp địa hạ thế tại trụ TBA "&amp;H4</f>
        <v xml:space="preserve">Tiếp địa hạ thế tại trụ TBA Từ 07 giờ 30 phút – 15 giờ 00 phút. </v>
      </c>
      <c r="O4" s="51" t="str">
        <f t="shared" ref="O4" si="0">K4&amp;CHAR(10)&amp;L4</f>
        <v xml:space="preserve">Cắt FCO + MCCB TBA Từ 07 giờ 30 phút – 15 giờ 00 phút. 
Tiếp địa hạ thế tại trụ TBA Từ 07 giờ 30 phút – 15 giờ 00 phút. </v>
      </c>
    </row>
    <row r="5" spans="1:24" s="36" customFormat="1" ht="28.8">
      <c r="B5" s="36" t="s">
        <v>332</v>
      </c>
      <c r="C5" s="56" t="s">
        <v>306</v>
      </c>
      <c r="D5" s="41" t="s">
        <v>283</v>
      </c>
      <c r="E5" s="41" t="s">
        <v>300</v>
      </c>
      <c r="F5" s="41" t="str">
        <f>"Sửa chữa lớn đường dây hạ thế "&amp;E5</f>
        <v>Sửa chữa lớn đường dây hạ thế Lưới điện hạ thế TBA Cây Da 1</v>
      </c>
      <c r="G5" s="50" t="str">
        <f>E5</f>
        <v>Lưới điện hạ thế TBA Cây Da 1</v>
      </c>
      <c r="H5" s="36" t="str">
        <f>RIGHT(F5,LEN(F5)-SEARCH("TBA ",F5,1)-2)</f>
        <v xml:space="preserve"> Cây Da 1</v>
      </c>
      <c r="I5" s="53" t="str">
        <f>"FCO + MCCB TBA "&amp;H5</f>
        <v>FCO + MCCB TBA  Cây Da 1</v>
      </c>
      <c r="J5" s="6" t="s">
        <v>149</v>
      </c>
      <c r="K5" s="41" t="str">
        <f>"Cắt "&amp;I5</f>
        <v>Cắt FCO + MCCB TBA  Cây Da 1</v>
      </c>
      <c r="L5" s="41" t="str">
        <f>"Tiếp địa hạ thế tại trụ TBA "&amp;H5</f>
        <v>Tiếp địa hạ thế tại trụ TBA  Cây Da 1</v>
      </c>
      <c r="O5" s="51" t="str">
        <f t="shared" ref="O5:O16" si="1">K5&amp;CHAR(10)&amp;L5</f>
        <v>Cắt FCO + MCCB TBA  Cây Da 1
Tiếp địa hạ thế tại trụ TBA  Cây Da 1</v>
      </c>
    </row>
    <row r="6" spans="1:24" s="36" customFormat="1" ht="28.8">
      <c r="C6" s="56" t="s">
        <v>284</v>
      </c>
      <c r="D6" s="41" t="s">
        <v>283</v>
      </c>
      <c r="E6" s="41" t="s">
        <v>293</v>
      </c>
      <c r="F6" s="41" t="str">
        <f t="shared" ref="F6:F16" si="2">"Sửa chữa lớn đường dây hạ thế "&amp;E6</f>
        <v>Sửa chữa lớn đường dây hạ thế Lưới điện hạ thế TBA Cây Da 2</v>
      </c>
      <c r="G6" s="50" t="str">
        <f t="shared" ref="G6:G16" si="3">E6</f>
        <v>Lưới điện hạ thế TBA Cây Da 2</v>
      </c>
      <c r="H6" s="36" t="str">
        <f t="shared" ref="H6:H16" si="4">RIGHT(F6,LEN(F6)-SEARCH("TBA ",F6,1)-2)</f>
        <v xml:space="preserve"> Cây Da 2</v>
      </c>
      <c r="I6" s="53" t="str">
        <f t="shared" ref="I6:I16" si="5">"FCO + MCCB TBA "&amp;H6</f>
        <v>FCO + MCCB TBA  Cây Da 2</v>
      </c>
      <c r="J6" s="6" t="s">
        <v>149</v>
      </c>
      <c r="K6" s="41" t="str">
        <f t="shared" ref="K6:K16" si="6">"Cắt "&amp;I6</f>
        <v>Cắt FCO + MCCB TBA  Cây Da 2</v>
      </c>
      <c r="L6" s="41" t="str">
        <f t="shared" ref="L6:L16" si="7">"Tiếp địa hạ thế tại trụ TBA "&amp;H6</f>
        <v>Tiếp địa hạ thế tại trụ TBA  Cây Da 2</v>
      </c>
      <c r="O6" s="51" t="str">
        <f t="shared" si="1"/>
        <v>Cắt FCO + MCCB TBA  Cây Da 2
Tiếp địa hạ thế tại trụ TBA  Cây Da 2</v>
      </c>
    </row>
    <row r="7" spans="1:24" s="36" customFormat="1" ht="28.8">
      <c r="C7" s="56" t="s">
        <v>285</v>
      </c>
      <c r="D7" s="41" t="s">
        <v>283</v>
      </c>
      <c r="E7" s="41" t="s">
        <v>294</v>
      </c>
      <c r="F7" s="41" t="str">
        <f t="shared" si="2"/>
        <v>Sửa chữa lớn đường dây hạ thế Lưới điện hạ thế TBA Cây Da 2A</v>
      </c>
      <c r="G7" s="50" t="str">
        <f t="shared" si="3"/>
        <v>Lưới điện hạ thế TBA Cây Da 2A</v>
      </c>
      <c r="H7" s="36" t="str">
        <f t="shared" si="4"/>
        <v xml:space="preserve"> Cây Da 2A</v>
      </c>
      <c r="I7" s="53" t="str">
        <f t="shared" si="5"/>
        <v>FCO + MCCB TBA  Cây Da 2A</v>
      </c>
      <c r="J7" s="6" t="s">
        <v>149</v>
      </c>
      <c r="K7" s="41" t="str">
        <f t="shared" si="6"/>
        <v>Cắt FCO + MCCB TBA  Cây Da 2A</v>
      </c>
      <c r="L7" s="41" t="str">
        <f t="shared" si="7"/>
        <v>Tiếp địa hạ thế tại trụ TBA  Cây Da 2A</v>
      </c>
      <c r="O7" s="51" t="str">
        <f t="shared" si="1"/>
        <v>Cắt FCO + MCCB TBA  Cây Da 2A
Tiếp địa hạ thế tại trụ TBA  Cây Da 2A</v>
      </c>
    </row>
    <row r="8" spans="1:24" s="36" customFormat="1" ht="28.8">
      <c r="C8" s="56" t="s">
        <v>286</v>
      </c>
      <c r="D8" s="41" t="s">
        <v>283</v>
      </c>
      <c r="E8" s="41" t="s">
        <v>295</v>
      </c>
      <c r="F8" s="41" t="str">
        <f t="shared" si="2"/>
        <v>Sửa chữa lớn đường dây hạ thế Lưới điện hạ thế TBA Cây Da 3</v>
      </c>
      <c r="G8" s="50" t="str">
        <f t="shared" si="3"/>
        <v>Lưới điện hạ thế TBA Cây Da 3</v>
      </c>
      <c r="H8" s="36" t="str">
        <f t="shared" si="4"/>
        <v xml:space="preserve"> Cây Da 3</v>
      </c>
      <c r="I8" s="53" t="str">
        <f t="shared" si="5"/>
        <v>FCO + MCCB TBA  Cây Da 3</v>
      </c>
      <c r="J8" s="6" t="s">
        <v>149</v>
      </c>
      <c r="K8" s="41" t="str">
        <f t="shared" si="6"/>
        <v>Cắt FCO + MCCB TBA  Cây Da 3</v>
      </c>
      <c r="L8" s="41" t="str">
        <f t="shared" si="7"/>
        <v>Tiếp địa hạ thế tại trụ TBA  Cây Da 3</v>
      </c>
      <c r="O8" s="51" t="str">
        <f t="shared" si="1"/>
        <v>Cắt FCO + MCCB TBA  Cây Da 3
Tiếp địa hạ thế tại trụ TBA  Cây Da 3</v>
      </c>
    </row>
    <row r="9" spans="1:24" s="36" customFormat="1" ht="28.8">
      <c r="C9" s="56" t="s">
        <v>287</v>
      </c>
      <c r="D9" s="41" t="s">
        <v>283</v>
      </c>
      <c r="E9" s="41" t="s">
        <v>296</v>
      </c>
      <c r="F9" s="41" t="str">
        <f t="shared" si="2"/>
        <v>Sửa chữa lớn đường dây hạ thế Lưới điện hạ thế TBA Cây Da 4</v>
      </c>
      <c r="G9" s="50" t="str">
        <f t="shared" si="3"/>
        <v>Lưới điện hạ thế TBA Cây Da 4</v>
      </c>
      <c r="H9" s="36" t="str">
        <f t="shared" si="4"/>
        <v xml:space="preserve"> Cây Da 4</v>
      </c>
      <c r="I9" s="53" t="str">
        <f t="shared" si="5"/>
        <v>FCO + MCCB TBA  Cây Da 4</v>
      </c>
      <c r="J9" s="6" t="s">
        <v>149</v>
      </c>
      <c r="K9" s="41" t="str">
        <f t="shared" si="6"/>
        <v>Cắt FCO + MCCB TBA  Cây Da 4</v>
      </c>
      <c r="L9" s="41" t="str">
        <f t="shared" si="7"/>
        <v>Tiếp địa hạ thế tại trụ TBA  Cây Da 4</v>
      </c>
      <c r="O9" s="51" t="str">
        <f t="shared" si="1"/>
        <v>Cắt FCO + MCCB TBA  Cây Da 4
Tiếp địa hạ thế tại trụ TBA  Cây Da 4</v>
      </c>
    </row>
    <row r="10" spans="1:24" s="36" customFormat="1" ht="28.8">
      <c r="C10" s="56" t="s">
        <v>288</v>
      </c>
      <c r="D10" s="41" t="s">
        <v>283</v>
      </c>
      <c r="E10" s="41" t="s">
        <v>297</v>
      </c>
      <c r="F10" s="41" t="str">
        <f t="shared" si="2"/>
        <v>Sửa chữa lớn đường dây hạ thế Lưới điện hạ thế TBA Cây Da 5</v>
      </c>
      <c r="G10" s="50" t="str">
        <f t="shared" si="3"/>
        <v>Lưới điện hạ thế TBA Cây Da 5</v>
      </c>
      <c r="H10" s="36" t="str">
        <f t="shared" si="4"/>
        <v xml:space="preserve"> Cây Da 5</v>
      </c>
      <c r="I10" s="53" t="str">
        <f t="shared" si="5"/>
        <v>FCO + MCCB TBA  Cây Da 5</v>
      </c>
      <c r="J10" s="6" t="s">
        <v>149</v>
      </c>
      <c r="K10" s="41" t="str">
        <f t="shared" si="6"/>
        <v>Cắt FCO + MCCB TBA  Cây Da 5</v>
      </c>
      <c r="L10" s="41" t="str">
        <f t="shared" si="7"/>
        <v>Tiếp địa hạ thế tại trụ TBA  Cây Da 5</v>
      </c>
      <c r="O10" s="51" t="str">
        <f t="shared" si="1"/>
        <v>Cắt FCO + MCCB TBA  Cây Da 5
Tiếp địa hạ thế tại trụ TBA  Cây Da 5</v>
      </c>
    </row>
    <row r="11" spans="1:24" s="36" customFormat="1" ht="28.8">
      <c r="C11" s="56" t="s">
        <v>289</v>
      </c>
      <c r="D11" s="41" t="s">
        <v>283</v>
      </c>
      <c r="E11" s="41" t="s">
        <v>298</v>
      </c>
      <c r="F11" s="41" t="str">
        <f t="shared" si="2"/>
        <v>Sửa chữa lớn đường dây hạ thế Lưới điện hạ thế TBA Cây Da 5A</v>
      </c>
      <c r="G11" s="50" t="str">
        <f t="shared" si="3"/>
        <v>Lưới điện hạ thế TBA Cây Da 5A</v>
      </c>
      <c r="H11" s="36" t="str">
        <f t="shared" si="4"/>
        <v xml:space="preserve"> Cây Da 5A</v>
      </c>
      <c r="I11" s="53" t="str">
        <f t="shared" si="5"/>
        <v>FCO + MCCB TBA  Cây Da 5A</v>
      </c>
      <c r="J11" s="6" t="s">
        <v>149</v>
      </c>
      <c r="K11" s="41" t="str">
        <f t="shared" si="6"/>
        <v>Cắt FCO + MCCB TBA  Cây Da 5A</v>
      </c>
      <c r="L11" s="41" t="str">
        <f t="shared" si="7"/>
        <v>Tiếp địa hạ thế tại trụ TBA  Cây Da 5A</v>
      </c>
      <c r="O11" s="51" t="str">
        <f t="shared" si="1"/>
        <v>Cắt FCO + MCCB TBA  Cây Da 5A
Tiếp địa hạ thế tại trụ TBA  Cây Da 5A</v>
      </c>
    </row>
    <row r="12" spans="1:24" s="36" customFormat="1" ht="28.8">
      <c r="C12" s="56" t="s">
        <v>290</v>
      </c>
      <c r="D12" s="41" t="s">
        <v>283</v>
      </c>
      <c r="E12" s="41" t="s">
        <v>299</v>
      </c>
      <c r="F12" s="41" t="str">
        <f t="shared" si="2"/>
        <v>Sửa chữa lớn đường dây hạ thế Lưới điện hạ thế TBA Cây Da 6</v>
      </c>
      <c r="G12" s="50" t="str">
        <f t="shared" si="3"/>
        <v>Lưới điện hạ thế TBA Cây Da 6</v>
      </c>
      <c r="H12" s="36" t="str">
        <f t="shared" si="4"/>
        <v xml:space="preserve"> Cây Da 6</v>
      </c>
      <c r="I12" s="53" t="str">
        <f t="shared" si="5"/>
        <v>FCO + MCCB TBA  Cây Da 6</v>
      </c>
      <c r="J12" s="6" t="s">
        <v>149</v>
      </c>
      <c r="K12" s="41" t="str">
        <f t="shared" si="6"/>
        <v>Cắt FCO + MCCB TBA  Cây Da 6</v>
      </c>
      <c r="L12" s="41" t="str">
        <f t="shared" si="7"/>
        <v>Tiếp địa hạ thế tại trụ TBA  Cây Da 6</v>
      </c>
      <c r="O12" s="51" t="str">
        <f t="shared" si="1"/>
        <v>Cắt FCO + MCCB TBA  Cây Da 6
Tiếp địa hạ thế tại trụ TBA  Cây Da 6</v>
      </c>
    </row>
    <row r="13" spans="1:24" s="36" customFormat="1" ht="28.8">
      <c r="C13" s="56" t="s">
        <v>291</v>
      </c>
      <c r="D13" s="41" t="s">
        <v>283</v>
      </c>
      <c r="E13" s="41" t="s">
        <v>301</v>
      </c>
      <c r="F13" s="41" t="str">
        <f t="shared" si="2"/>
        <v>Sửa chữa lớn đường dây hạ thế Lưới điện hạ thế TBA Cây Da 6A</v>
      </c>
      <c r="G13" s="50" t="str">
        <f t="shared" si="3"/>
        <v>Lưới điện hạ thế TBA Cây Da 6A</v>
      </c>
      <c r="H13" s="36" t="str">
        <f t="shared" si="4"/>
        <v xml:space="preserve"> Cây Da 6A</v>
      </c>
      <c r="I13" s="53" t="str">
        <f t="shared" si="5"/>
        <v>FCO + MCCB TBA  Cây Da 6A</v>
      </c>
      <c r="J13" s="6" t="s">
        <v>149</v>
      </c>
      <c r="K13" s="41" t="str">
        <f t="shared" si="6"/>
        <v>Cắt FCO + MCCB TBA  Cây Da 6A</v>
      </c>
      <c r="L13" s="41" t="str">
        <f t="shared" si="7"/>
        <v>Tiếp địa hạ thế tại trụ TBA  Cây Da 6A</v>
      </c>
      <c r="O13" s="51" t="str">
        <f t="shared" si="1"/>
        <v>Cắt FCO + MCCB TBA  Cây Da 6A
Tiếp địa hạ thế tại trụ TBA  Cây Da 6A</v>
      </c>
      <c r="P13" s="36" t="s">
        <v>305</v>
      </c>
    </row>
    <row r="14" spans="1:24" s="41" customFormat="1" ht="28.8">
      <c r="C14" s="56" t="s">
        <v>292</v>
      </c>
      <c r="D14" s="41" t="s">
        <v>283</v>
      </c>
      <c r="E14" s="41" t="s">
        <v>302</v>
      </c>
      <c r="F14" s="41" t="str">
        <f t="shared" si="2"/>
        <v>Sửa chữa lớn đường dây hạ thế Lưới điện hạ thế TBA Cây Da 7</v>
      </c>
      <c r="G14" s="50" t="str">
        <f t="shared" si="3"/>
        <v>Lưới điện hạ thế TBA Cây Da 7</v>
      </c>
      <c r="H14" s="36" t="str">
        <f t="shared" si="4"/>
        <v xml:space="preserve"> Cây Da 7</v>
      </c>
      <c r="I14" s="53" t="str">
        <f t="shared" si="5"/>
        <v>FCO + MCCB TBA  Cây Da 7</v>
      </c>
      <c r="J14" s="6" t="s">
        <v>149</v>
      </c>
      <c r="K14" s="41" t="str">
        <f t="shared" si="6"/>
        <v>Cắt FCO + MCCB TBA  Cây Da 7</v>
      </c>
      <c r="L14" s="41" t="str">
        <f t="shared" si="7"/>
        <v>Tiếp địa hạ thế tại trụ TBA  Cây Da 7</v>
      </c>
      <c r="O14" s="51" t="str">
        <f t="shared" si="1"/>
        <v>Cắt FCO + MCCB TBA  Cây Da 7
Tiếp địa hạ thế tại trụ TBA  Cây Da 7</v>
      </c>
    </row>
    <row r="15" spans="1:24" s="41" customFormat="1" ht="28.8">
      <c r="C15" s="56" t="s">
        <v>292</v>
      </c>
      <c r="D15" s="41" t="s">
        <v>283</v>
      </c>
      <c r="E15" s="41" t="s">
        <v>303</v>
      </c>
      <c r="F15" s="41" t="str">
        <f t="shared" si="2"/>
        <v>Sửa chữa lớn đường dây hạ thế Lưới điện hạ thế TBA Cây Da 10</v>
      </c>
      <c r="G15" s="50" t="str">
        <f t="shared" si="3"/>
        <v>Lưới điện hạ thế TBA Cây Da 10</v>
      </c>
      <c r="H15" s="36" t="str">
        <f t="shared" si="4"/>
        <v xml:space="preserve"> Cây Da 10</v>
      </c>
      <c r="I15" s="53" t="str">
        <f t="shared" si="5"/>
        <v>FCO + MCCB TBA  Cây Da 10</v>
      </c>
      <c r="J15" s="6" t="s">
        <v>149</v>
      </c>
      <c r="K15" s="41" t="str">
        <f t="shared" si="6"/>
        <v>Cắt FCO + MCCB TBA  Cây Da 10</v>
      </c>
      <c r="L15" s="41" t="str">
        <f t="shared" si="7"/>
        <v>Tiếp địa hạ thế tại trụ TBA  Cây Da 10</v>
      </c>
      <c r="O15" s="51" t="str">
        <f t="shared" si="1"/>
        <v>Cắt FCO + MCCB TBA  Cây Da 10
Tiếp địa hạ thế tại trụ TBA  Cây Da 10</v>
      </c>
    </row>
    <row r="16" spans="1:24" s="41" customFormat="1" ht="28.8">
      <c r="C16" s="56" t="s">
        <v>292</v>
      </c>
      <c r="D16" s="41" t="s">
        <v>283</v>
      </c>
      <c r="E16" s="41" t="s">
        <v>304</v>
      </c>
      <c r="F16" s="41" t="str">
        <f t="shared" si="2"/>
        <v>Sửa chữa lớn đường dây hạ thế Lưới điện hạ thế TBA Cây Da 11</v>
      </c>
      <c r="G16" s="50" t="str">
        <f t="shared" si="3"/>
        <v>Lưới điện hạ thế TBA Cây Da 11</v>
      </c>
      <c r="H16" s="36" t="str">
        <f t="shared" si="4"/>
        <v xml:space="preserve"> Cây Da 11</v>
      </c>
      <c r="I16" s="53" t="str">
        <f t="shared" si="5"/>
        <v>FCO + MCCB TBA  Cây Da 11</v>
      </c>
      <c r="J16" s="6" t="s">
        <v>149</v>
      </c>
      <c r="K16" s="41" t="str">
        <f t="shared" si="6"/>
        <v>Cắt FCO + MCCB TBA  Cây Da 11</v>
      </c>
      <c r="L16" s="41" t="str">
        <f t="shared" si="7"/>
        <v>Tiếp địa hạ thế tại trụ TBA  Cây Da 11</v>
      </c>
      <c r="O16" s="51" t="str">
        <f t="shared" si="1"/>
        <v>Cắt FCO + MCCB TBA  Cây Da 11
Tiếp địa hạ thế tại trụ TBA  Cây Da 11</v>
      </c>
    </row>
    <row r="17" spans="1:24" s="41" customFormat="1" ht="57.6">
      <c r="C17" s="56" t="s">
        <v>276</v>
      </c>
      <c r="D17" s="52" t="s">
        <v>46</v>
      </c>
      <c r="E17" s="41" t="s">
        <v>268</v>
      </c>
      <c r="F17" s="53" t="s">
        <v>267</v>
      </c>
      <c r="G17" s="50" t="s">
        <v>274</v>
      </c>
      <c r="H17" s="6" t="s">
        <v>269</v>
      </c>
      <c r="I17" s="59" t="s">
        <v>270</v>
      </c>
      <c r="J17" s="6"/>
      <c r="K17" s="24" t="s">
        <v>271</v>
      </c>
      <c r="L17" s="54" t="s">
        <v>272</v>
      </c>
      <c r="N17" s="57">
        <v>44147</v>
      </c>
      <c r="O17" s="51" t="str">
        <f>K17&amp;CHAR(10)&amp;L17</f>
        <v>Cắt LBS khí Ấp 8 Nhân Nghĩa + 3 LTD
Cắt LBS khí Nhân Nghĩa - Xuân Bảo + 3LTD
Tiếp địa trụ trung thế 174
Tiếp địa hạ thế tại TBA Nhân Nghĩa 11</v>
      </c>
      <c r="P17" s="26" t="str">
        <f>E17</f>
        <v>Nhánh rẽ Nhân Nghĩa 11</v>
      </c>
    </row>
    <row r="18" spans="1:24" s="41" customFormat="1" ht="57.6">
      <c r="C18" s="56" t="s">
        <v>276</v>
      </c>
      <c r="D18" s="52" t="s">
        <v>307</v>
      </c>
      <c r="E18" s="41" t="s">
        <v>268</v>
      </c>
      <c r="F18" s="53" t="s">
        <v>277</v>
      </c>
      <c r="G18" s="50" t="s">
        <v>278</v>
      </c>
      <c r="H18" s="6" t="s">
        <v>279</v>
      </c>
      <c r="I18" s="59" t="s">
        <v>280</v>
      </c>
      <c r="J18" s="6"/>
      <c r="K18" s="55" t="s">
        <v>282</v>
      </c>
      <c r="L18" s="54" t="s">
        <v>281</v>
      </c>
      <c r="N18" s="57">
        <v>44147</v>
      </c>
      <c r="O18" s="51" t="str">
        <f>K18&amp;CHAR(10)&amp;L18</f>
        <v>Cắt FCO nhánh rẽ Nhân Nghĩa 11 tại trụ 172/001
Tiếp địa trung hạ thế tại TBA Nhân Nghĩa 11</v>
      </c>
      <c r="P18" s="26" t="str">
        <f>E18</f>
        <v>Nhánh rẽ Nhân Nghĩa 11</v>
      </c>
    </row>
    <row r="19" spans="1:24" ht="28.8">
      <c r="A19">
        <f>ROW()</f>
        <v>19</v>
      </c>
      <c r="C19" s="44">
        <v>44061</v>
      </c>
      <c r="D19" s="44"/>
      <c r="E19" t="s">
        <v>137</v>
      </c>
      <c r="F19" s="24" t="s">
        <v>227</v>
      </c>
      <c r="G19" s="47" t="s">
        <v>213</v>
      </c>
      <c r="H19" s="6" t="s">
        <v>231</v>
      </c>
      <c r="I19" s="59" t="s">
        <v>149</v>
      </c>
      <c r="J19" s="6"/>
      <c r="K19" s="24" t="s">
        <v>181</v>
      </c>
      <c r="L19" s="6"/>
      <c r="M19" s="6"/>
      <c r="N19" s="26">
        <f t="shared" ref="N19:N38" si="8">M19+14</f>
        <v>14</v>
      </c>
      <c r="O19" s="26" t="str">
        <f t="array" ref="O19">_xlfn.TEXTJOIN(CHAR(10),TRUE,K19:L19)</f>
        <v>Cắt FCO + MCCB TBA Nam Hà 1A
Tiếp địa hạ thế tại MCCB TBA Nam Hà 1A</v>
      </c>
      <c r="P19" s="26" t="str">
        <f t="shared" ref="P19:P39" si="9">E19</f>
        <v>TBA Nam Hà 1A</v>
      </c>
      <c r="Q19" s="26" t="str">
        <f t="shared" ref="Q19:Q39" si="10">O19&amp;E19</f>
        <v>Cắt FCO + MCCB TBA Nam Hà 1A
Tiếp địa hạ thế tại MCCB TBA Nam Hà 1ATBA Nam Hà 1A</v>
      </c>
      <c r="R19" s="35">
        <v>44079</v>
      </c>
      <c r="S19" t="s">
        <v>136</v>
      </c>
      <c r="T19">
        <f t="shared" ref="T19:T25" si="11">WEEKDAY(R19)</f>
        <v>7</v>
      </c>
      <c r="U19" s="26" t="str">
        <f t="shared" ref="U19:U39" si="12">O19&amp;E19</f>
        <v>Cắt FCO + MCCB TBA Nam Hà 1A
Tiếp địa hạ thế tại MCCB TBA Nam Hà 1ATBA Nam Hà 1A</v>
      </c>
      <c r="V19" s="26" t="str">
        <f t="shared" ref="V19:V39" si="13">F19&amp;LOWER(O19)&amp;E19</f>
        <v>Thay dây hạ thế  sau TBA Nam Hà 1Acắt fco + mccb tba nam hà 1a
tiếp địa hạ thế tại mccb tba nam hà 1aTBA Nam Hà 1A</v>
      </c>
      <c r="W19" s="26" t="str">
        <f t="shared" ref="W19:W39" si="14">"Cắt "&amp;I19&amp;P19</f>
        <v>Cắt FCO + MCCB TBA Nam Hà 1A</v>
      </c>
      <c r="X19" s="26" t="str">
        <f t="shared" ref="X19:X39" si="15">"Tiếp địa tại "&amp;L19&amp;E19</f>
        <v>Tiếp địa tại TBA Nam Hà 1A</v>
      </c>
    </row>
    <row r="20" spans="1:24" ht="28.8">
      <c r="A20">
        <f>ROW()</f>
        <v>20</v>
      </c>
      <c r="C20" s="44">
        <v>44061</v>
      </c>
      <c r="D20" s="44"/>
      <c r="E20" t="s">
        <v>135</v>
      </c>
      <c r="F20" s="24" t="s">
        <v>226</v>
      </c>
      <c r="G20" s="47" t="s">
        <v>212</v>
      </c>
      <c r="H20" s="6" t="s">
        <v>231</v>
      </c>
      <c r="I20" s="59" t="s">
        <v>149</v>
      </c>
      <c r="J20" s="6"/>
      <c r="K20" s="24" t="s">
        <v>180</v>
      </c>
      <c r="L20" s="6" t="s">
        <v>251</v>
      </c>
      <c r="M20" s="6"/>
      <c r="N20" s="26">
        <f>M20+14</f>
        <v>14</v>
      </c>
      <c r="O20" s="26" t="str">
        <f t="array" ref="O20">_xlfn.TEXTJOIN(CHAR(10),TRUE,K20:L20)</f>
        <v xml:space="preserve">Cắt FCO + MCCB TBA Nam Hà 1
Tiếp địa hạ thế tại MCCB TBA Nam Hà 1
 </v>
      </c>
      <c r="P20" s="26" t="str">
        <f t="shared" si="9"/>
        <v>TBA Nam Hà 1</v>
      </c>
      <c r="Q20" s="26" t="str">
        <f t="shared" si="10"/>
        <v>Cắt FCO + MCCB TBA Nam Hà 1
Tiếp địa hạ thế tại MCCB TBA Nam Hà 1
 TBA Nam Hà 1</v>
      </c>
      <c r="R20" s="35">
        <v>44079</v>
      </c>
      <c r="S20" t="s">
        <v>136</v>
      </c>
      <c r="T20">
        <f>WEEKDAY(R20)</f>
        <v>7</v>
      </c>
      <c r="U20" s="26" t="str">
        <f t="shared" si="12"/>
        <v>Cắt FCO + MCCB TBA Nam Hà 1
Tiếp địa hạ thế tại MCCB TBA Nam Hà 1
 TBA Nam Hà 1</v>
      </c>
      <c r="V20" s="26" t="str">
        <f t="shared" si="13"/>
        <v>Thay dây hạ thế  sau TBA Nam Hà 1cắt fco + mccb tba nam hà 1
tiếp địa hạ thế tại mccb tba nam hà 1
 TBA Nam Hà 1</v>
      </c>
      <c r="W20" s="26" t="str">
        <f t="shared" si="14"/>
        <v>Cắt FCO + MCCB TBA Nam Hà 1</v>
      </c>
      <c r="X20" s="26" t="str">
        <f t="shared" si="15"/>
        <v>Tiếp địa tại  TBA Nam Hà 1</v>
      </c>
    </row>
    <row r="21" spans="1:24" ht="28.8">
      <c r="A21">
        <f>ROW()</f>
        <v>21</v>
      </c>
      <c r="C21" s="44">
        <v>44061</v>
      </c>
      <c r="D21" s="44"/>
      <c r="E21" t="s">
        <v>138</v>
      </c>
      <c r="F21" s="24" t="s">
        <v>228</v>
      </c>
      <c r="G21" s="47" t="s">
        <v>214</v>
      </c>
      <c r="H21" s="6" t="s">
        <v>231</v>
      </c>
      <c r="I21" s="59" t="s">
        <v>149</v>
      </c>
      <c r="J21" s="6"/>
      <c r="K21" s="24" t="s">
        <v>182</v>
      </c>
      <c r="L21" s="6"/>
      <c r="M21" s="6"/>
      <c r="N21" s="26">
        <f t="shared" si="8"/>
        <v>14</v>
      </c>
      <c r="O21" s="26" t="str">
        <f t="array" ref="O21">_xlfn.TEXTJOIN(CHAR(10),TRUE,K21:L21)</f>
        <v>Cắt FCO + MCCB TBA Nam Hà 3
Tiếp địa hạ thế tại MCCB TBA Nam Hà 3</v>
      </c>
      <c r="P21" s="26" t="str">
        <f t="shared" si="9"/>
        <v>TBA Nam Hà 3</v>
      </c>
      <c r="Q21" s="26" t="str">
        <f t="shared" si="10"/>
        <v>Cắt FCO + MCCB TBA Nam Hà 3
Tiếp địa hạ thế tại MCCB TBA Nam Hà 3TBA Nam Hà 3</v>
      </c>
      <c r="R21" s="35">
        <v>44079</v>
      </c>
      <c r="S21" t="s">
        <v>136</v>
      </c>
      <c r="T21">
        <f t="shared" si="11"/>
        <v>7</v>
      </c>
      <c r="U21" s="26" t="str">
        <f t="shared" si="12"/>
        <v>Cắt FCO + MCCB TBA Nam Hà 3
Tiếp địa hạ thế tại MCCB TBA Nam Hà 3TBA Nam Hà 3</v>
      </c>
      <c r="V21" s="26" t="str">
        <f t="shared" si="13"/>
        <v>Thay dây hạ thế  sau TBA Nam Hà 3cắt fco + mccb tba nam hà 3
tiếp địa hạ thế tại mccb tba nam hà 3TBA Nam Hà 3</v>
      </c>
      <c r="W21" s="26" t="str">
        <f t="shared" si="14"/>
        <v>Cắt FCO + MCCB TBA Nam Hà 3</v>
      </c>
      <c r="X21" s="26" t="str">
        <f t="shared" si="15"/>
        <v>Tiếp địa tại TBA Nam Hà 3</v>
      </c>
    </row>
    <row r="22" spans="1:24" ht="28.8">
      <c r="A22">
        <f>ROW()</f>
        <v>22</v>
      </c>
      <c r="C22" s="44">
        <v>44061</v>
      </c>
      <c r="D22" s="44"/>
      <c r="E22" t="s">
        <v>139</v>
      </c>
      <c r="F22" s="24" t="s">
        <v>229</v>
      </c>
      <c r="G22" s="47" t="s">
        <v>215</v>
      </c>
      <c r="H22" s="6" t="s">
        <v>231</v>
      </c>
      <c r="I22" s="59" t="s">
        <v>149</v>
      </c>
      <c r="J22" s="6"/>
      <c r="K22" s="24" t="s">
        <v>241</v>
      </c>
      <c r="L22" s="6"/>
      <c r="M22" s="6"/>
      <c r="N22" s="26">
        <f t="shared" si="8"/>
        <v>14</v>
      </c>
      <c r="O22" s="26" t="str">
        <f t="array" ref="O22">_xlfn.TEXTJOIN(CHAR(10),TRUE,K22:L22)</f>
        <v>Cắt FCO + MCCB TBA Xuân Tây 10A
Tiếp địa hạ thế tại MCCB TBA Xuân Tây 10A</v>
      </c>
      <c r="P22" s="26" t="str">
        <f t="shared" si="9"/>
        <v>TBA Xuân Tây 10A</v>
      </c>
      <c r="Q22" s="26" t="str">
        <f t="shared" si="10"/>
        <v>Cắt FCO + MCCB TBA Xuân Tây 10A
Tiếp địa hạ thế tại MCCB TBA Xuân Tây 10ATBA Xuân Tây 10A</v>
      </c>
      <c r="R22" s="35">
        <v>44081</v>
      </c>
      <c r="S22" t="s">
        <v>136</v>
      </c>
      <c r="T22">
        <f t="shared" si="11"/>
        <v>2</v>
      </c>
      <c r="U22" s="26" t="str">
        <f t="shared" si="12"/>
        <v>Cắt FCO + MCCB TBA Xuân Tây 10A
Tiếp địa hạ thế tại MCCB TBA Xuân Tây 10ATBA Xuân Tây 10A</v>
      </c>
      <c r="V22" s="26" t="str">
        <f t="shared" si="13"/>
        <v>Thay dây hạ thế  sau TBA Xuân Tây 10Acắt fco + mccb tba xuân tây 10a
tiếp địa hạ thế tại mccb tba xuân tây 10aTBA Xuân Tây 10A</v>
      </c>
      <c r="W22" s="26" t="str">
        <f t="shared" si="14"/>
        <v>Cắt FCO + MCCB TBA Xuân Tây 10A</v>
      </c>
      <c r="X22" s="26" t="str">
        <f t="shared" si="15"/>
        <v>Tiếp địa tại TBA Xuân Tây 10A</v>
      </c>
    </row>
    <row r="23" spans="1:24">
      <c r="A23">
        <f>ROW()</f>
        <v>23</v>
      </c>
      <c r="C23" s="44">
        <v>44061</v>
      </c>
      <c r="D23" s="44"/>
      <c r="E23" s="6" t="s">
        <v>150</v>
      </c>
      <c r="F23" s="24" t="s">
        <v>230</v>
      </c>
      <c r="G23" s="47" t="s">
        <v>216</v>
      </c>
      <c r="H23" s="6" t="s">
        <v>231</v>
      </c>
      <c r="I23" s="59" t="s">
        <v>149</v>
      </c>
      <c r="J23" s="6"/>
      <c r="K23" s="24" t="s">
        <v>239</v>
      </c>
      <c r="L23" s="6" t="s">
        <v>240</v>
      </c>
      <c r="M23" s="6"/>
      <c r="N23" s="26">
        <f t="shared" si="8"/>
        <v>14</v>
      </c>
      <c r="O23" s="26" t="str">
        <f t="array" ref="O23">_xlfn.TEXTJOIN(CHAR(10),TRUE,K23:L23)</f>
        <v>Cắt FCO + MCCB TBA Sông Ray 8A
Tiếp địa hạ thế tại MCCB TBA Sông Ray 8A</v>
      </c>
      <c r="P23" s="26" t="str">
        <f t="shared" si="9"/>
        <v>TBA Sông Ray 8A</v>
      </c>
      <c r="Q23" s="26" t="str">
        <f t="shared" si="10"/>
        <v>Cắt FCO + MCCB TBA Sông Ray 8A
Tiếp địa hạ thế tại MCCB TBA Sông Ray 8ATBA Sông Ray 8A</v>
      </c>
      <c r="R23" s="35">
        <v>44083</v>
      </c>
      <c r="S23" t="s">
        <v>136</v>
      </c>
      <c r="T23">
        <f t="shared" si="11"/>
        <v>4</v>
      </c>
      <c r="U23" s="26" t="str">
        <f t="shared" si="12"/>
        <v>Cắt FCO + MCCB TBA Sông Ray 8A
Tiếp địa hạ thế tại MCCB TBA Sông Ray 8ATBA Sông Ray 8A</v>
      </c>
      <c r="V23" s="26" t="str">
        <f t="shared" si="13"/>
        <v>Thay dây hạ thế  sau TBA Sông Ray 8Acắt fco + mccb tba sông ray 8a
tiếp địa hạ thế tại mccb tba sông ray 8aTBA Sông Ray 8A</v>
      </c>
      <c r="W23" s="26" t="str">
        <f t="shared" si="14"/>
        <v>Cắt FCO + MCCB TBA Sông Ray 8A</v>
      </c>
      <c r="X23" s="26" t="str">
        <f t="shared" si="15"/>
        <v>Tiếp địa tại Tiếp địa hạ thế tại MCCB TBA Sông Ray 8ATBA Sông Ray 8A</v>
      </c>
    </row>
    <row r="24" spans="1:24" ht="43.2">
      <c r="A24">
        <f>ROW()</f>
        <v>24</v>
      </c>
      <c r="C24" s="44">
        <v>44061</v>
      </c>
      <c r="D24" s="44"/>
      <c r="E24" s="6" t="s">
        <v>151</v>
      </c>
      <c r="F24" s="24" t="s">
        <v>153</v>
      </c>
      <c r="G24" s="47" t="s">
        <v>217</v>
      </c>
      <c r="H24" s="6" t="s">
        <v>231</v>
      </c>
      <c r="I24" s="59" t="s">
        <v>152</v>
      </c>
      <c r="J24" s="6"/>
      <c r="K24" s="24" t="s">
        <v>184</v>
      </c>
      <c r="L24" s="24" t="s">
        <v>183</v>
      </c>
      <c r="M24" s="6"/>
      <c r="N24" s="26">
        <f t="shared" ref="N24" si="16">M24+14</f>
        <v>14</v>
      </c>
      <c r="O24" s="26" t="str">
        <f t="array" ref="O24">_xlfn.TEXTJOIN(CHAR(10),TRUE,K24:L24)</f>
        <v>Cắt LBS khí Đồng Tâm 1 + 3 LTD Đồng Tâm 1
Cắt LBS khí Sông Ray + 3 LTD Sông Ray 1
Tiếp địa trụ trung thế 357 
Tiếp địa trụ trung thế 381 
Tiếp địa hạ thế TBA Sông Ray 7</v>
      </c>
      <c r="P24" s="26" t="str">
        <f t="shared" si="9"/>
        <v>Nhánh rẽ Đồng Tâm 1</v>
      </c>
      <c r="Q24" s="26" t="str">
        <f t="shared" si="10"/>
        <v>Cắt LBS khí Đồng Tâm 1 + 3 LTD Đồng Tâm 1
Cắt LBS khí Sông Ray + 3 LTD Sông Ray 1
Tiếp địa trụ trung thế 357 
Tiếp địa trụ trung thế 381 
Tiếp địa hạ thế TBA Sông Ray 7Nhánh rẽ Đồng Tâm 1</v>
      </c>
      <c r="R24" s="35">
        <v>44086</v>
      </c>
      <c r="S24" t="s">
        <v>136</v>
      </c>
      <c r="T24">
        <f t="shared" ref="T24" si="17">WEEKDAY(R24)</f>
        <v>7</v>
      </c>
      <c r="U24" s="26" t="str">
        <f t="shared" si="12"/>
        <v>Cắt LBS khí Đồng Tâm 1 + 3 LTD Đồng Tâm 1
Cắt LBS khí Sông Ray + 3 LTD Sông Ray 1
Tiếp địa trụ trung thế 357 
Tiếp địa trụ trung thế 381 
Tiếp địa hạ thế TBA Sông Ray 7Nhánh rẽ Đồng Tâm 1</v>
      </c>
      <c r="V24" s="26" t="str">
        <f t="shared" si="13"/>
        <v>Nâng cấp đường dây hạ thế và TBA Sông Ray 7 từ 1 pha lên 3 pha, cấy TBA Sông Ray 7Acắt lbs khí đồng tâm 1 + 3 ltd đồng tâm 1
cắt lbs khí sông ray + 3 ltd sông ray 1
tiếp địa trụ trung thế 357 
tiếp địa trụ trung thế 381 
tiếp địa hạ thế tba sông ray 7Nhánh rẽ Đồng Tâm 1</v>
      </c>
      <c r="W24" s="26" t="str">
        <f t="shared" si="14"/>
        <v>Cắt LBS khí + 3 LTDNhánh rẽ Đồng Tâm 1</v>
      </c>
      <c r="X24" s="26" t="str">
        <f t="shared" si="15"/>
        <v>Tiếp địa tại Tiếp địa trụ trung thế 381 
Tiếp địa hạ thế TBA Sông Ray 7Nhánh rẽ Đồng Tâm 1</v>
      </c>
    </row>
    <row r="25" spans="1:24" ht="28.8">
      <c r="A25">
        <f>ROW()</f>
        <v>25</v>
      </c>
      <c r="C25" s="44">
        <v>44171</v>
      </c>
      <c r="D25" s="44"/>
      <c r="E25" s="6" t="s">
        <v>261</v>
      </c>
      <c r="F25" s="24" t="s">
        <v>265</v>
      </c>
      <c r="G25" s="47" t="s">
        <v>262</v>
      </c>
      <c r="H25" s="6" t="s">
        <v>259</v>
      </c>
      <c r="I25" s="59" t="s">
        <v>155</v>
      </c>
      <c r="J25" s="6"/>
      <c r="K25" s="24" t="s">
        <v>266</v>
      </c>
      <c r="L25" s="24" t="s">
        <v>263</v>
      </c>
      <c r="M25" s="6"/>
      <c r="N25" s="26">
        <f t="shared" si="8"/>
        <v>14</v>
      </c>
      <c r="O25" s="26" t="str">
        <f t="array" ref="O25">_xlfn.TEXTJOIN(CHAR(10),TRUE,K25:L25)</f>
        <v>Cắt FCO + MCCB TBA Sông Ray 7A
Cắt 3xFCO nhánh rẽ Sông Ray 7A
Tiếp địa trung hạ thế  trạm biến áp Sông Ray 7A</v>
      </c>
      <c r="P25" s="26" t="str">
        <f t="shared" si="9"/>
        <v>Nhánh rẽ Sông Ray 7A</v>
      </c>
      <c r="Q25" s="26" t="str">
        <f t="shared" si="10"/>
        <v>Cắt FCO + MCCB TBA Sông Ray 7A
Cắt 3xFCO nhánh rẽ Sông Ray 7A
Tiếp địa trung hạ thế  trạm biến áp Sông Ray 7ANhánh rẽ Sông Ray 7A</v>
      </c>
      <c r="R25" s="35">
        <v>44086</v>
      </c>
      <c r="S25" t="s">
        <v>136</v>
      </c>
      <c r="T25">
        <f t="shared" si="11"/>
        <v>7</v>
      </c>
      <c r="U25" s="26" t="str">
        <f t="shared" si="12"/>
        <v>Cắt FCO + MCCB TBA Sông Ray 7A
Cắt 3xFCO nhánh rẽ Sông Ray 7A
Tiếp địa trung hạ thế  trạm biến áp Sông Ray 7ANhánh rẽ Sông Ray 7A</v>
      </c>
      <c r="V25" s="26" t="str">
        <f t="shared" si="13"/>
        <v>Tách lưới, sang tải TBA  Sông Ray 7 sang TBA  Sông Ray 7A, đấu nối máy biến ápcắt fco + mccb tba sông ray 7a
cắt 3xfco nhánh rẽ sông ray 7a
tiếp địa trung hạ thế  trạm biến áp sông ray 7aNhánh rẽ Sông Ray 7A</v>
      </c>
      <c r="W25" s="26" t="str">
        <f t="shared" si="14"/>
        <v>Cắt 3xFCO Nhánh rẽ Sông Ray 7A</v>
      </c>
      <c r="X25" s="26" t="str">
        <f t="shared" si="15"/>
        <v>Tiếp địa tại Tiếp địa trung hạ thế  trạm biến áp Sông Ray 7ANhánh rẽ Sông Ray 7A</v>
      </c>
    </row>
    <row r="26" spans="1:24" ht="43.2">
      <c r="A26">
        <f>ROW()</f>
        <v>26</v>
      </c>
      <c r="C26" s="44">
        <v>44062</v>
      </c>
      <c r="D26" s="44"/>
      <c r="E26" s="6" t="s">
        <v>154</v>
      </c>
      <c r="F26" s="24" t="s">
        <v>256</v>
      </c>
      <c r="G26" s="47" t="s">
        <v>257</v>
      </c>
      <c r="H26" s="6" t="s">
        <v>231</v>
      </c>
      <c r="I26" s="59" t="s">
        <v>155</v>
      </c>
      <c r="J26" s="6"/>
      <c r="K26" s="24" t="s">
        <v>186</v>
      </c>
      <c r="L26" s="6" t="s">
        <v>185</v>
      </c>
      <c r="M26" s="6"/>
      <c r="N26" s="26">
        <f t="shared" si="8"/>
        <v>14</v>
      </c>
      <c r="O26" s="26" t="str">
        <f t="array" ref="O26">_xlfn.TEXTJOIN(CHAR(10),TRUE,K26:L26)</f>
        <v>Cắt 3xFCO Nhánh rẽ Lâm San 10, 11, 12
Tiếp địa trụ trung thế 357 Nhánh rẽ Lâm San 10, 11, 12
Tiếp địa trung hạ áp tại TBA Lâm San 11A, 11D</v>
      </c>
      <c r="P26" s="26" t="str">
        <f t="shared" si="9"/>
        <v>Nhánh rẽ Lâm San 10, 11, 12</v>
      </c>
      <c r="Q26" s="26" t="str">
        <f t="shared" si="10"/>
        <v>Cắt 3xFCO Nhánh rẽ Lâm San 10, 11, 12
Tiếp địa trụ trung thế 357 Nhánh rẽ Lâm San 10, 11, 12
Tiếp địa trung hạ áp tại TBA Lâm San 11A, 11DNhánh rẽ Lâm San 10, 11, 12</v>
      </c>
      <c r="R26" s="35">
        <v>44086</v>
      </c>
      <c r="S26" t="s">
        <v>136</v>
      </c>
      <c r="T26">
        <f t="shared" ref="T26" si="18">WEEKDAY(R26)</f>
        <v>7</v>
      </c>
      <c r="U26" s="26" t="str">
        <f t="shared" si="12"/>
        <v>Cắt 3xFCO Nhánh rẽ Lâm San 10, 11, 12
Tiếp địa trụ trung thế 357 Nhánh rẽ Lâm San 10, 11, 12
Tiếp địa trung hạ áp tại TBA Lâm San 11A, 11DNhánh rẽ Lâm San 10, 11, 12</v>
      </c>
      <c r="V26" s="26" t="str">
        <f t="shared" si="13"/>
        <v>Nâng cấp đường dây hạ thế và TBA Sông Ray 7 từ 1 pha lên 3 pha, cấy TBA Sông Ray 7A, đấu nối trung hạ thếcắt 3xfco nhánh rẽ lâm san 10, 11, 12
tiếp địa trụ trung thế 357 nhánh rẽ lâm san 10, 11, 12
tiếp địa trung hạ áp tại tba lâm san 11a, 11dNhánh rẽ Lâm San 10, 11, 12</v>
      </c>
      <c r="W26" s="26" t="str">
        <f t="shared" si="14"/>
        <v>Cắt 3xFCO Nhánh rẽ Lâm San 10, 11, 12</v>
      </c>
      <c r="X26" s="26" t="str">
        <f t="shared" si="15"/>
        <v>Tiếp địa tại Tiếp địa trung hạ áp tại TBA Lâm San 11A, 11DNhánh rẽ Lâm San 10, 11, 12</v>
      </c>
    </row>
    <row r="27" spans="1:24" ht="43.2">
      <c r="A27">
        <f>ROW()</f>
        <v>27</v>
      </c>
      <c r="C27" s="44">
        <v>44062</v>
      </c>
      <c r="D27" s="44"/>
      <c r="E27" s="6" t="s">
        <v>157</v>
      </c>
      <c r="F27" s="24" t="s">
        <v>158</v>
      </c>
      <c r="G27" s="47" t="s">
        <v>218</v>
      </c>
      <c r="H27" s="6" t="s">
        <v>231</v>
      </c>
      <c r="I27" s="59" t="s">
        <v>156</v>
      </c>
      <c r="J27" s="6"/>
      <c r="K27" s="24" t="s">
        <v>187</v>
      </c>
      <c r="L27" s="6" t="s">
        <v>188</v>
      </c>
      <c r="M27" s="6"/>
      <c r="N27" s="26">
        <f t="shared" si="8"/>
        <v>14</v>
      </c>
      <c r="O27" s="26" t="str">
        <f t="array" ref="O27">_xlfn.TEXTJOIN(CHAR(10),TRUE,K27:L27)</f>
        <v xml:space="preserve">Cắt Recloser + 3 LTD Lâm San
Tiếp địa trụ trung thế 011A
Tiếp địa trụ trung thế 075 </v>
      </c>
      <c r="P27" s="26" t="str">
        <f t="shared" si="9"/>
        <v>Nhánh rẽ Lâm San</v>
      </c>
      <c r="Q27" s="26" t="str">
        <f t="shared" si="10"/>
        <v>Cắt Recloser + 3 LTD Lâm San
Tiếp địa trụ trung thế 011A
Tiếp địa trụ trung thế 075 Nhánh rẽ Lâm San</v>
      </c>
      <c r="R27" s="35">
        <v>44093</v>
      </c>
      <c r="S27" t="s">
        <v>136</v>
      </c>
      <c r="T27">
        <f t="shared" ref="T27:T37" si="19">WEEKDAY(R27)</f>
        <v>7</v>
      </c>
      <c r="U27" s="26" t="str">
        <f t="shared" si="12"/>
        <v>Cắt Recloser + 3 LTD Lâm San
Tiếp địa trụ trung thế 011A
Tiếp địa trụ trung thế 075 Nhánh rẽ Lâm San</v>
      </c>
      <c r="V27" s="26" t="str">
        <f t="shared" si="13"/>
        <v>Trồng trụ trung thế 015A đấu nối trung thế, tách lưới, sang tải TBA Sông Ray 2, Sông Ray 2A. Đấu nối trung thế và di dời TBA Sông Ray 4Acắt recloser + 3 ltd lâm san
tiếp địa trụ trung thế 011a
tiếp địa trụ trung thế 075 Nhánh rẽ Lâm San</v>
      </c>
      <c r="W27" s="26" t="str">
        <f t="shared" si="14"/>
        <v>Cắt Recloser + 3 LTD Nhánh rẽ Lâm San</v>
      </c>
      <c r="X27" s="26" t="str">
        <f t="shared" si="15"/>
        <v>Tiếp địa tại Tiếp địa trụ trung thế 075 Nhánh rẽ Lâm San</v>
      </c>
    </row>
    <row r="28" spans="1:24" ht="28.8">
      <c r="A28">
        <f>ROW()</f>
        <v>28</v>
      </c>
      <c r="C28" s="44">
        <v>44062</v>
      </c>
      <c r="D28" s="44"/>
      <c r="E28" s="6" t="s">
        <v>159</v>
      </c>
      <c r="F28" s="24" t="s">
        <v>161</v>
      </c>
      <c r="G28" s="47" t="s">
        <v>219</v>
      </c>
      <c r="H28" s="6" t="s">
        <v>231</v>
      </c>
      <c r="I28" s="59" t="s">
        <v>155</v>
      </c>
      <c r="J28" s="6"/>
      <c r="K28" s="24" t="s">
        <v>189</v>
      </c>
      <c r="L28" s="6" t="s">
        <v>190</v>
      </c>
      <c r="M28" s="6"/>
      <c r="N28" s="26">
        <f t="shared" si="8"/>
        <v>14</v>
      </c>
      <c r="O28" s="26" t="str">
        <f t="array" ref="O28">_xlfn.TEXTJOIN(CHAR(10),TRUE,K28:L28)</f>
        <v>Cắt 3xFCO Nhánh rẽ Cánh đồng Xuân Tây 1
Tiếp địa trung hạ áp tại TBA Cánh đồng Xuân Tây 1</v>
      </c>
      <c r="P28" s="26" t="str">
        <f t="shared" si="9"/>
        <v>Nhánh rẽ Cánh đồng Xuân Tây 1</v>
      </c>
      <c r="Q28" s="26" t="str">
        <f t="shared" si="10"/>
        <v>Cắt 3xFCO Nhánh rẽ Cánh đồng Xuân Tây 1
Tiếp địa trung hạ áp tại TBA Cánh đồng Xuân Tây 1Nhánh rẽ Cánh đồng Xuân Tây 1</v>
      </c>
      <c r="R28" s="35">
        <v>44090</v>
      </c>
      <c r="S28" t="s">
        <v>136</v>
      </c>
      <c r="T28">
        <f t="shared" si="19"/>
        <v>4</v>
      </c>
      <c r="U28" s="26" t="str">
        <f t="shared" si="12"/>
        <v>Cắt 3xFCO Nhánh rẽ Cánh đồng Xuân Tây 1
Tiếp địa trung hạ áp tại TBA Cánh đồng Xuân Tây 1Nhánh rẽ Cánh đồng Xuân Tây 1</v>
      </c>
      <c r="V28" s="26" t="str">
        <f t="shared" si="13"/>
        <v>Đấu nối trung thế trụ 009A, 013. Tách lưới hạ thế sau TBA Cánh đồng Xuân Tây 1A, Cánh đồng Xuân Tây 1Bcắt 3xfco nhánh rẽ cánh đồng xuân tây 1
tiếp địa trung hạ áp tại tba cánh đồng xuân tây 1Nhánh rẽ Cánh đồng Xuân Tây 1</v>
      </c>
      <c r="W28" s="26" t="str">
        <f t="shared" si="14"/>
        <v>Cắt 3xFCO Nhánh rẽ Cánh đồng Xuân Tây 1</v>
      </c>
      <c r="X28" s="26" t="str">
        <f t="shared" si="15"/>
        <v>Tiếp địa tại Tiếp địa trung hạ áp tại TBA Cánh đồng Xuân Tây 1Nhánh rẽ Cánh đồng Xuân Tây 1</v>
      </c>
    </row>
    <row r="29" spans="1:24" ht="28.8">
      <c r="A29">
        <f>ROW()</f>
        <v>29</v>
      </c>
      <c r="C29" s="44">
        <v>44062</v>
      </c>
      <c r="D29" s="44"/>
      <c r="E29" s="6" t="s">
        <v>160</v>
      </c>
      <c r="F29" s="24" t="s">
        <v>162</v>
      </c>
      <c r="G29" s="47" t="s">
        <v>220</v>
      </c>
      <c r="H29" s="6" t="s">
        <v>231</v>
      </c>
      <c r="I29" s="59" t="s">
        <v>156</v>
      </c>
      <c r="J29" s="6"/>
      <c r="K29" s="24" t="s">
        <v>191</v>
      </c>
      <c r="L29" s="24" t="s">
        <v>192</v>
      </c>
      <c r="M29" s="6"/>
      <c r="N29" s="26">
        <f t="shared" si="8"/>
        <v>14</v>
      </c>
      <c r="O29" s="26" t="str">
        <f t="array" ref="O29">_xlfn.TEXTJOIN(CHAR(10),TRUE,K29:L29)</f>
        <v>Cắt Recloser + 3 LTD Láng Me
Tiếp địa trụ trung thế 079
Tiếp địa trụ trung thế 094
 Tiếp địa hạ thế TBA Láng Me 3</v>
      </c>
      <c r="P29" s="26" t="str">
        <f t="shared" si="9"/>
        <v>Nhánh rẽ Láng Me</v>
      </c>
      <c r="Q29" s="26" t="str">
        <f t="shared" si="10"/>
        <v>Cắt Recloser + 3 LTD Láng Me
Tiếp địa trụ trung thế 079
Tiếp địa trụ trung thế 094
 Tiếp địa hạ thế TBA Láng Me 3Nhánh rẽ Láng Me</v>
      </c>
      <c r="R29" s="35">
        <v>44089</v>
      </c>
      <c r="S29" t="s">
        <v>136</v>
      </c>
      <c r="T29">
        <f t="shared" si="19"/>
        <v>3</v>
      </c>
      <c r="U29" s="26" t="str">
        <f t="shared" si="12"/>
        <v>Cắt Recloser + 3 LTD Láng Me
Tiếp địa trụ trung thế 079
Tiếp địa trụ trung thế 094
 Tiếp địa hạ thế TBA Láng Me 3Nhánh rẽ Láng Me</v>
      </c>
      <c r="V29" s="26" t="str">
        <f t="shared" si="13"/>
        <v>Đấu nối trung thế trụ 087 nhánh rẽ Láng Me. Cấy TBA Láng Me 3B, Tách lưới hạ thế sau TBA Láng Me 3 sang Láng Me 3Bcắt recloser + 3 ltd láng me
tiếp địa trụ trung thế 079
tiếp địa trụ trung thế 094
 tiếp địa hạ thế tba láng me 3Nhánh rẽ Láng Me</v>
      </c>
      <c r="W29" s="26" t="str">
        <f t="shared" si="14"/>
        <v>Cắt Recloser + 3 LTD Nhánh rẽ Láng Me</v>
      </c>
      <c r="X29" s="26" t="str">
        <f t="shared" si="15"/>
        <v>Tiếp địa tại Tiếp địa trụ trung thế 094
 Tiếp địa hạ thế TBA Láng Me 3Nhánh rẽ Láng Me</v>
      </c>
    </row>
    <row r="30" spans="1:24" ht="28.8">
      <c r="A30">
        <f>ROW()</f>
        <v>30</v>
      </c>
      <c r="C30" s="44">
        <v>44062</v>
      </c>
      <c r="D30" s="44"/>
      <c r="E30" s="6" t="s">
        <v>163</v>
      </c>
      <c r="F30" s="24" t="s">
        <v>165</v>
      </c>
      <c r="G30" s="47" t="s">
        <v>221</v>
      </c>
      <c r="H30" s="6" t="s">
        <v>231</v>
      </c>
      <c r="I30" s="59" t="s">
        <v>164</v>
      </c>
      <c r="J30" s="6"/>
      <c r="K30" s="24" t="s">
        <v>193</v>
      </c>
      <c r="L30" s="6" t="s">
        <v>195</v>
      </c>
      <c r="M30" s="6"/>
      <c r="N30" s="26">
        <f t="shared" si="8"/>
        <v>14</v>
      </c>
      <c r="O30" s="26" t="str">
        <f t="array" ref="O30">_xlfn.TEXTJOIN(CHAR(10),TRUE,K30:L30)</f>
        <v>Cắt FCO Nhánh rẽ Thoại Hương 3, 4
Tiếp địa trung hạ áp tại TBA Thoại Hương 3, 4</v>
      </c>
      <c r="P30" s="26" t="str">
        <f t="shared" si="9"/>
        <v>Nhánh rẽ Thoại Hương 3, 4</v>
      </c>
      <c r="Q30" s="26" t="str">
        <f t="shared" si="10"/>
        <v>Cắt FCO Nhánh rẽ Thoại Hương 3, 4
Tiếp địa trung hạ áp tại TBA Thoại Hương 3, 4Nhánh rẽ Thoại Hương 3, 4</v>
      </c>
      <c r="R30" s="35">
        <v>44088</v>
      </c>
      <c r="S30" t="s">
        <v>136</v>
      </c>
      <c r="T30">
        <f t="shared" si="19"/>
        <v>2</v>
      </c>
      <c r="U30" s="26" t="str">
        <f t="shared" si="12"/>
        <v>Cắt FCO Nhánh rẽ Thoại Hương 3, 4
Tiếp địa trung hạ áp tại TBA Thoại Hương 3, 4Nhánh rẽ Thoại Hương 3, 4</v>
      </c>
      <c r="V30" s="26" t="str">
        <f t="shared" si="13"/>
        <v>Đấu nối trung thế trụ 021 Nhánh rẽ Thoại Hương 3, 4. Di dời TBA Thoại Hương 4cắt fco nhánh rẽ thoại hương 3, 4
tiếp địa trung hạ áp tại tba thoại hương 3, 4Nhánh rẽ Thoại Hương 3, 4</v>
      </c>
      <c r="W30" s="26" t="str">
        <f t="shared" si="14"/>
        <v>Cắt FCO Nhánh rẽ Thoại Hương 3, 4</v>
      </c>
      <c r="X30" s="26" t="str">
        <f t="shared" si="15"/>
        <v>Tiếp địa tại Tiếp địa trung hạ áp tại TBA Thoại Hương 3, 4Nhánh rẽ Thoại Hương 3, 4</v>
      </c>
    </row>
    <row r="31" spans="1:24" ht="28.8">
      <c r="A31">
        <f>ROW()</f>
        <v>31</v>
      </c>
      <c r="C31" s="44">
        <v>44062</v>
      </c>
      <c r="D31" s="44"/>
      <c r="E31" s="6" t="s">
        <v>166</v>
      </c>
      <c r="F31" s="24" t="s">
        <v>167</v>
      </c>
      <c r="G31" s="47" t="s">
        <v>222</v>
      </c>
      <c r="H31" s="6" t="s">
        <v>231</v>
      </c>
      <c r="I31" s="59" t="s">
        <v>164</v>
      </c>
      <c r="J31" s="6"/>
      <c r="K31" s="45" t="s">
        <v>194</v>
      </c>
      <c r="L31" s="6" t="s">
        <v>196</v>
      </c>
      <c r="M31" s="6"/>
      <c r="N31" s="26">
        <f t="shared" si="8"/>
        <v>14</v>
      </c>
      <c r="O31" s="26" t="str">
        <f t="array" ref="O31">_xlfn.TEXTJOIN(CHAR(10),TRUE,K31:L31)</f>
        <v>Cắt FCO Nhánh rẽ Xuân Tây 19
Tiếp địa trung hạ áp tại TBA Xuân Tây 19</v>
      </c>
      <c r="P31" s="26" t="str">
        <f t="shared" si="9"/>
        <v>Nhánh rẽ Xuân Tây 19</v>
      </c>
      <c r="Q31" s="26" t="str">
        <f t="shared" si="10"/>
        <v>Cắt FCO Nhánh rẽ Xuân Tây 19
Tiếp địa trung hạ áp tại TBA Xuân Tây 19Nhánh rẽ Xuân Tây 19</v>
      </c>
      <c r="R31" s="35">
        <v>44086</v>
      </c>
      <c r="S31" t="s">
        <v>136</v>
      </c>
      <c r="T31">
        <f t="shared" si="19"/>
        <v>7</v>
      </c>
      <c r="U31" s="26" t="str">
        <f t="shared" si="12"/>
        <v>Cắt FCO Nhánh rẽ Xuân Tây 19
Tiếp địa trung hạ áp tại TBA Xuân Tây 19Nhánh rẽ Xuân Tây 19</v>
      </c>
      <c r="V31" s="26" t="str">
        <f t="shared" si="13"/>
        <v>Đấu nối trung thế trụ 017 Nhánh rẽ Xuân Tây 19.Cấy TBA Xuân Tây 19A, tách lưới hạ thế TBA Xuân Tây 19 sang TBA Xuân Tây 19Acắt fco nhánh rẽ xuân tây 19
tiếp địa trung hạ áp tại tba xuân tây 19Nhánh rẽ Xuân Tây 19</v>
      </c>
      <c r="W31" s="26" t="str">
        <f t="shared" si="14"/>
        <v>Cắt FCO Nhánh rẽ Xuân Tây 19</v>
      </c>
      <c r="X31" s="26" t="str">
        <f t="shared" si="15"/>
        <v>Tiếp địa tại Tiếp địa trung hạ áp tại TBA Xuân Tây 19Nhánh rẽ Xuân Tây 19</v>
      </c>
    </row>
    <row r="32" spans="1:24" ht="72">
      <c r="A32">
        <f>ROW()</f>
        <v>32</v>
      </c>
      <c r="C32" s="44">
        <v>44062</v>
      </c>
      <c r="D32" s="44"/>
      <c r="E32" s="6" t="s">
        <v>168</v>
      </c>
      <c r="F32" s="24" t="s">
        <v>258</v>
      </c>
      <c r="G32" s="47" t="s">
        <v>223</v>
      </c>
      <c r="H32" s="6" t="s">
        <v>259</v>
      </c>
      <c r="I32" s="59" t="s">
        <v>155</v>
      </c>
      <c r="J32" s="6"/>
      <c r="K32" s="45" t="s">
        <v>197</v>
      </c>
      <c r="L32" s="24" t="s">
        <v>198</v>
      </c>
      <c r="M32" s="6"/>
      <c r="N32" s="26">
        <f t="shared" si="8"/>
        <v>14</v>
      </c>
      <c r="O32" s="26" t="str">
        <f t="array" ref="O32">_xlfn.TEXTJOIN(CHAR(10),TRUE,K32:L32)</f>
        <v>Cắt 3xFCO Nhánh rẽ Láng Me 5
Tiếp địa trụ trung thế 107
Tiếp địa trụ trung thế 131
 Tiếp địa hạ thế TBA Láng Me 5, 5A, 5B</v>
      </c>
      <c r="P32" s="26" t="str">
        <f t="shared" si="9"/>
        <v>Nhánh rẽ Láng Me 5</v>
      </c>
      <c r="Q32" s="26" t="str">
        <f t="shared" si="10"/>
        <v>Cắt 3xFCO Nhánh rẽ Láng Me 5
Tiếp địa trụ trung thế 107
Tiếp địa trụ trung thế 131
 Tiếp địa hạ thế TBA Láng Me 5, 5A, 5BNhánh rẽ Láng Me 5</v>
      </c>
      <c r="R32" s="35">
        <v>44089</v>
      </c>
      <c r="S32" t="s">
        <v>136</v>
      </c>
      <c r="T32">
        <f t="shared" si="19"/>
        <v>3</v>
      </c>
      <c r="U32" s="26" t="str">
        <f t="shared" si="12"/>
        <v>Cắt 3xFCO Nhánh rẽ Láng Me 5
Tiếp địa trụ trung thế 107
Tiếp địa trụ trung thế 131
 Tiếp địa hạ thế TBA Láng Me 5, 5A, 5BNhánh rẽ Láng Me 5</v>
      </c>
      <c r="V32" s="26" t="str">
        <f t="shared" si="13"/>
        <v>Nâng cấp đường dây trung thế và trạm biến áp Láng Me 5B từ 1 pha lên 3 pha, di dời TBA Láng Me 5, cấy trạm biến áp lá me 5A-1, Cấy mới TBA Láng Me 5C, tách một phần lưới hạ thế Láng Me 5B sang nhận điện TBA Láng Me 5C, Đấu nối nhánh rẽ nhánh rẽ Láng Me 5C tại trụ 135 cắt 3xfco nhánh rẽ láng me 5
tiếp địa trụ trung thế 107
tiếp địa trụ trung thế 131
 tiếp địa hạ thế tba láng me 5, 5a, 5bNhánh rẽ Láng Me 5</v>
      </c>
      <c r="W32" s="26" t="str">
        <f t="shared" si="14"/>
        <v>Cắt 3xFCO Nhánh rẽ Láng Me 5</v>
      </c>
      <c r="X32" s="26" t="str">
        <f t="shared" si="15"/>
        <v>Tiếp địa tại Tiếp địa trụ trung thế 131
 Tiếp địa hạ thế TBA Láng Me 5, 5A, 5BNhánh rẽ Láng Me 5</v>
      </c>
    </row>
    <row r="33" spans="1:24" ht="28.8">
      <c r="A33">
        <f>ROW()</f>
        <v>33</v>
      </c>
      <c r="C33" s="44">
        <v>44062</v>
      </c>
      <c r="D33" s="44"/>
      <c r="E33" s="6" t="s">
        <v>169</v>
      </c>
      <c r="F33" s="24" t="s">
        <v>170</v>
      </c>
      <c r="G33" s="47" t="s">
        <v>224</v>
      </c>
      <c r="H33" s="6" t="s">
        <v>231</v>
      </c>
      <c r="I33" s="59" t="s">
        <v>156</v>
      </c>
      <c r="J33" s="6"/>
      <c r="K33" s="45" t="s">
        <v>199</v>
      </c>
      <c r="L33" s="6" t="s">
        <v>200</v>
      </c>
      <c r="M33" s="6"/>
      <c r="N33" s="26">
        <f t="shared" si="8"/>
        <v>14</v>
      </c>
      <c r="O33" s="26" t="str">
        <f t="array" ref="O33">_xlfn.TEXTJOIN(CHAR(10),TRUE,K33:L33)</f>
        <v xml:space="preserve">Cắt Recloser + 3 LTD Nhánh rẽ Sông Nhạn
Tiếp địa trụ trung thế 006
Tiếp địa trụ trung thế 023A </v>
      </c>
      <c r="P33" s="26" t="str">
        <f t="shared" si="9"/>
        <v>Nhánh rẽ Sông Nhạn</v>
      </c>
      <c r="Q33" s="26" t="str">
        <f t="shared" si="10"/>
        <v>Cắt Recloser + 3 LTD Nhánh rẽ Sông Nhạn
Tiếp địa trụ trung thế 006
Tiếp địa trụ trung thế 023A Nhánh rẽ Sông Nhạn</v>
      </c>
      <c r="R33" s="35">
        <v>44095</v>
      </c>
      <c r="S33" t="s">
        <v>136</v>
      </c>
      <c r="T33">
        <f t="shared" si="19"/>
        <v>2</v>
      </c>
      <c r="U33" s="26" t="str">
        <f t="shared" si="12"/>
        <v>Cắt Recloser + 3 LTD Nhánh rẽ Sông Nhạn
Tiếp địa trụ trung thế 006
Tiếp địa trụ trung thế 023A Nhánh rẽ Sông Nhạn</v>
      </c>
      <c r="V33" s="26" t="str">
        <f t="shared" si="13"/>
        <v>Di dời TBA Suối Râm 7cắt recloser + 3 ltd nhánh rẽ sông nhạn
tiếp địa trụ trung thế 006
tiếp địa trụ trung thế 023a Nhánh rẽ Sông Nhạn</v>
      </c>
      <c r="W33" s="26" t="str">
        <f t="shared" si="14"/>
        <v>Cắt Recloser + 3 LTD Nhánh rẽ Sông Nhạn</v>
      </c>
      <c r="X33" s="26" t="str">
        <f t="shared" si="15"/>
        <v>Tiếp địa tại Tiếp địa trụ trung thế 023A Nhánh rẽ Sông Nhạn</v>
      </c>
    </row>
    <row r="34" spans="1:24" ht="43.2">
      <c r="A34">
        <f>ROW()</f>
        <v>34</v>
      </c>
      <c r="C34" s="44">
        <v>44062</v>
      </c>
      <c r="D34" s="44"/>
      <c r="E34" s="6" t="s">
        <v>171</v>
      </c>
      <c r="F34" s="24" t="s">
        <v>172</v>
      </c>
      <c r="G34" s="47" t="s">
        <v>203</v>
      </c>
      <c r="H34" s="6" t="s">
        <v>231</v>
      </c>
      <c r="I34" s="59" t="s">
        <v>156</v>
      </c>
      <c r="J34" s="6"/>
      <c r="K34" s="24" t="s">
        <v>201</v>
      </c>
      <c r="L34" s="6" t="s">
        <v>202</v>
      </c>
      <c r="M34" s="6"/>
      <c r="N34" s="26">
        <f t="shared" si="8"/>
        <v>14</v>
      </c>
      <c r="O34" s="26" t="str">
        <f t="array" ref="O34">_xlfn.TEXTJOIN(CHAR(10),TRUE,K34:L34)</f>
        <v>Cắt Recloser + 3 LTD Nhánh rẽ Nam Hà
Cắt 3 LTD Xuân Bảo - Nam Hà
Tiếp địa trụ trung thế 326
Tiếp địa trụ trung thế 351</v>
      </c>
      <c r="P34" s="26" t="str">
        <f t="shared" si="9"/>
        <v>Nhánh rẽ Nam Hà</v>
      </c>
      <c r="Q34" s="26" t="str">
        <f t="shared" si="10"/>
        <v>Cắt Recloser + 3 LTD Nhánh rẽ Nam Hà
Cắt 3 LTD Xuân Bảo - Nam Hà
Tiếp địa trụ trung thế 326
Tiếp địa trụ trung thế 351Nhánh rẽ Nam Hà</v>
      </c>
      <c r="R34" s="35">
        <v>44096</v>
      </c>
      <c r="S34" t="s">
        <v>136</v>
      </c>
      <c r="T34">
        <f t="shared" si="19"/>
        <v>3</v>
      </c>
      <c r="U34" s="26" t="str">
        <f t="shared" si="12"/>
        <v>Cắt Recloser + 3 LTD Nhánh rẽ Nam Hà
Cắt 3 LTD Xuân Bảo - Nam Hà
Tiếp địa trụ trung thế 326
Tiếp địa trụ trung thế 351Nhánh rẽ Nam Hà</v>
      </c>
      <c r="V34" s="26" t="str">
        <f t="shared" si="13"/>
        <v>Lắp đặt trạm biến áp Nam Hà 3B tách lưới hạ thế trạm Nam Hà 3 sang nhận điện trạm Nam Hà 3B đấu nối đường dây trung thế xây dựng mớicắt recloser + 3 ltd nhánh rẽ nam hà
cắt 3 ltd xuân bảo - nam hà
tiếp địa trụ trung thế 326
tiếp địa trụ trung thế 351Nhánh rẽ Nam Hà</v>
      </c>
      <c r="W34" s="26" t="str">
        <f t="shared" si="14"/>
        <v>Cắt Recloser + 3 LTD Nhánh rẽ Nam Hà</v>
      </c>
      <c r="X34" s="26" t="str">
        <f t="shared" si="15"/>
        <v>Tiếp địa tại Tiếp địa trụ trung thế 351Nhánh rẽ Nam Hà</v>
      </c>
    </row>
    <row r="35" spans="1:24" ht="28.8">
      <c r="A35">
        <f>ROW()</f>
        <v>35</v>
      </c>
      <c r="C35" s="44">
        <v>44061</v>
      </c>
      <c r="D35" s="44"/>
      <c r="E35" s="6" t="s">
        <v>173</v>
      </c>
      <c r="F35" s="24" t="s">
        <v>174</v>
      </c>
      <c r="G35" s="47" t="s">
        <v>207</v>
      </c>
      <c r="H35" s="6" t="s">
        <v>231</v>
      </c>
      <c r="I35" s="59" t="s">
        <v>156</v>
      </c>
      <c r="J35" s="6"/>
      <c r="K35" s="24" t="s">
        <v>208</v>
      </c>
      <c r="L35" s="6" t="s">
        <v>209</v>
      </c>
      <c r="M35" s="6"/>
      <c r="N35" s="26">
        <f t="shared" si="8"/>
        <v>14</v>
      </c>
      <c r="O35" s="26" t="str">
        <f t="array" ref="O35">_xlfn.TEXTJOIN(CHAR(10),TRUE,K35:L35)</f>
        <v>Cắt Recloser + 3 LTD Nhánh rẽ Tân Bảo
Tiếp địa trụ trung thế 117
Tiếp địa trụ trung thế 147</v>
      </c>
      <c r="P35" s="26" t="str">
        <f t="shared" si="9"/>
        <v>Nhánh rẽ Tân Bảo</v>
      </c>
      <c r="Q35" s="26" t="str">
        <f t="shared" si="10"/>
        <v>Cắt Recloser + 3 LTD Nhánh rẽ Tân Bảo
Tiếp địa trụ trung thế 117
Tiếp địa trụ trung thế 147Nhánh rẽ Tân Bảo</v>
      </c>
      <c r="R35" s="35">
        <v>44097</v>
      </c>
      <c r="S35" t="s">
        <v>136</v>
      </c>
      <c r="T35">
        <f t="shared" si="19"/>
        <v>4</v>
      </c>
      <c r="U35" s="26" t="str">
        <f t="shared" si="12"/>
        <v>Cắt Recloser + 3 LTD Nhánh rẽ Tân Bảo
Tiếp địa trụ trung thế 117
Tiếp địa trụ trung thế 147Nhánh rẽ Tân Bảo</v>
      </c>
      <c r="V35" s="26" t="str">
        <f t="shared" si="13"/>
        <v>Lắp đặt trạm biến áp Tân Bảo 3A, tách lưới hạ thế trạm Tân Bảo 3 sang nhận điện trạm Tân Bảo 3Acắt recloser + 3 ltd nhánh rẽ tân bảo
tiếp địa trụ trung thế 117
tiếp địa trụ trung thế 147Nhánh rẽ Tân Bảo</v>
      </c>
      <c r="W35" s="26" t="str">
        <f t="shared" si="14"/>
        <v>Cắt Recloser + 3 LTD Nhánh rẽ Tân Bảo</v>
      </c>
      <c r="X35" s="26" t="str">
        <f t="shared" si="15"/>
        <v>Tiếp địa tại Tiếp địa trụ trung thế 147Nhánh rẽ Tân Bảo</v>
      </c>
    </row>
    <row r="36" spans="1:24" ht="57.6">
      <c r="A36">
        <f>ROW()</f>
        <v>36</v>
      </c>
      <c r="C36" s="44">
        <v>44062</v>
      </c>
      <c r="D36" s="44"/>
      <c r="E36" s="6" t="s">
        <v>171</v>
      </c>
      <c r="F36" s="45" t="s">
        <v>260</v>
      </c>
      <c r="G36" s="47" t="s">
        <v>210</v>
      </c>
      <c r="H36" s="6" t="s">
        <v>231</v>
      </c>
      <c r="I36" s="59" t="s">
        <v>156</v>
      </c>
      <c r="J36" s="6"/>
      <c r="K36" s="24" t="s">
        <v>201</v>
      </c>
      <c r="L36" s="6" t="s">
        <v>202</v>
      </c>
      <c r="M36" s="6"/>
      <c r="N36" s="26">
        <f t="shared" si="8"/>
        <v>14</v>
      </c>
      <c r="O36" s="26" t="str">
        <f t="array" ref="O36">_xlfn.TEXTJOIN(CHAR(10),TRUE,K36:L36)</f>
        <v>Cắt Recloser + 3 LTD Nhánh rẽ Nam Hà
Cắt 3 LTD Xuân Bảo - Nam Hà
Tiếp địa trụ trung thế 326
Tiếp địa trụ trung thế 351</v>
      </c>
      <c r="P36" s="26" t="str">
        <f t="shared" si="9"/>
        <v>Nhánh rẽ Nam Hà</v>
      </c>
      <c r="Q36" s="26" t="str">
        <f t="shared" si="10"/>
        <v>Cắt Recloser + 3 LTD Nhánh rẽ Nam Hà
Cắt 3 LTD Xuân Bảo - Nam Hà
Tiếp địa trụ trung thế 326
Tiếp địa trụ trung thế 351Nhánh rẽ Nam Hà</v>
      </c>
      <c r="R36" s="35">
        <v>44096</v>
      </c>
      <c r="S36" t="s">
        <v>136</v>
      </c>
      <c r="T36">
        <f t="shared" si="19"/>
        <v>3</v>
      </c>
      <c r="U36" s="26" t="str">
        <f t="shared" si="12"/>
        <v>Cắt Recloser + 3 LTD Nhánh rẽ Nam Hà
Cắt 3 LTD Xuân Bảo - Nam Hà
Tiếp địa trụ trung thế 326
Tiếp địa trụ trung thế 351Nhánh rẽ Nam Hà</v>
      </c>
      <c r="V36" s="26" t="str">
        <f t="shared" si="13"/>
        <v>Di dời TBA Nam Hà 1 từ trụ 344 trục chính tuyến 477 Xuân Bảo về trụ 344/01 XDM, Trồng đôn trụ trung thế 335A, 344, 348A; trồng đôn trụ hạ thế 339A trục chính tuyến 477 Xuân Bảo
cắt recloser + 3 ltd nhánh rẽ nam hà
cắt 3 ltd xuân bảo - nam hà
tiếp địa trụ trung thế 326
tiếp địa trụ trung thế 351Nhánh rẽ Nam Hà</v>
      </c>
      <c r="W36" s="26" t="str">
        <f t="shared" si="14"/>
        <v>Cắt Recloser + 3 LTD Nhánh rẽ Nam Hà</v>
      </c>
      <c r="X36" s="26" t="str">
        <f t="shared" si="15"/>
        <v>Tiếp địa tại Tiếp địa trụ trung thế 351Nhánh rẽ Nam Hà</v>
      </c>
    </row>
    <row r="37" spans="1:24" ht="28.8">
      <c r="A37">
        <f>ROW()</f>
        <v>37</v>
      </c>
      <c r="C37" s="44">
        <v>44062</v>
      </c>
      <c r="D37" s="44"/>
      <c r="E37" s="6" t="s">
        <v>173</v>
      </c>
      <c r="F37" s="24" t="s">
        <v>175</v>
      </c>
      <c r="G37" s="47" t="s">
        <v>211</v>
      </c>
      <c r="H37" s="6" t="s">
        <v>231</v>
      </c>
      <c r="I37" s="59" t="s">
        <v>156</v>
      </c>
      <c r="J37" s="6"/>
      <c r="K37" s="24" t="s">
        <v>208</v>
      </c>
      <c r="L37" s="6" t="s">
        <v>209</v>
      </c>
      <c r="M37" s="6"/>
      <c r="N37" s="26">
        <f t="shared" si="8"/>
        <v>14</v>
      </c>
      <c r="O37" s="26" t="str">
        <f t="array" ref="O37">_xlfn.TEXTJOIN(CHAR(10),TRUE,K37:L37)</f>
        <v>Cắt Recloser + 3 LTD Nhánh rẽ Tân Bảo
Tiếp địa trụ trung thế 117
Tiếp địa trụ trung thế 147</v>
      </c>
      <c r="P37" s="26" t="str">
        <f t="shared" si="9"/>
        <v>Nhánh rẽ Tân Bảo</v>
      </c>
      <c r="Q37" s="26" t="str">
        <f t="shared" si="10"/>
        <v>Cắt Recloser + 3 LTD Nhánh rẽ Tân Bảo
Tiếp địa trụ trung thế 117
Tiếp địa trụ trung thế 147Nhánh rẽ Tân Bảo</v>
      </c>
      <c r="R37" s="35">
        <v>44097</v>
      </c>
      <c r="S37" t="s">
        <v>136</v>
      </c>
      <c r="T37">
        <f t="shared" si="19"/>
        <v>4</v>
      </c>
      <c r="U37" s="26" t="str">
        <f t="shared" si="12"/>
        <v>Cắt Recloser + 3 LTD Nhánh rẽ Tân Bảo
Tiếp địa trụ trung thế 117
Tiếp địa trụ trung thế 147Nhánh rẽ Tân Bảo</v>
      </c>
      <c r="V37" s="26" t="str">
        <f t="shared" si="13"/>
        <v>Di dời TBA Tân Bảo 3cắt recloser + 3 ltd nhánh rẽ tân bảo
tiếp địa trụ trung thế 117
tiếp địa trụ trung thế 147Nhánh rẽ Tân Bảo</v>
      </c>
      <c r="W37" s="26" t="str">
        <f t="shared" si="14"/>
        <v>Cắt Recloser + 3 LTD Nhánh rẽ Tân Bảo</v>
      </c>
      <c r="X37" s="26" t="str">
        <f t="shared" si="15"/>
        <v>Tiếp địa tại Tiếp địa trụ trung thế 147Nhánh rẽ Tân Bảo</v>
      </c>
    </row>
    <row r="38" spans="1:24">
      <c r="A38">
        <f>ROW()</f>
        <v>38</v>
      </c>
      <c r="C38" s="44">
        <v>44082</v>
      </c>
      <c r="D38" s="44"/>
      <c r="E38" s="6" t="s">
        <v>234</v>
      </c>
      <c r="F38" s="24" t="s">
        <v>255</v>
      </c>
      <c r="G38" s="47" t="s">
        <v>237</v>
      </c>
      <c r="H38" s="6" t="s">
        <v>231</v>
      </c>
      <c r="I38" s="59" t="s">
        <v>164</v>
      </c>
      <c r="J38" s="6"/>
      <c r="K38" s="24" t="s">
        <v>236</v>
      </c>
      <c r="L38" s="6" t="s">
        <v>235</v>
      </c>
      <c r="M38" s="6"/>
      <c r="N38" s="26">
        <f t="shared" si="8"/>
        <v>14</v>
      </c>
      <c r="O38" s="26" t="str">
        <f t="array" ref="O38">_xlfn.TEXTJOIN(CHAR(10),TRUE,K38:L38)</f>
        <v>Cắt FCO + MCCB TBA Sông Ray 7
Tiếp địa hạ thế tại MCCB TBA Sông Ray 7</v>
      </c>
      <c r="P38" s="26" t="str">
        <f t="shared" si="9"/>
        <v>TBA Sông Ray 7</v>
      </c>
      <c r="Q38" s="26" t="str">
        <f t="shared" si="10"/>
        <v>Cắt FCO + MCCB TBA Sông Ray 7
Tiếp địa hạ thế tại MCCB TBA Sông Ray 7TBA Sông Ray 7</v>
      </c>
      <c r="R38" s="35">
        <v>44098</v>
      </c>
      <c r="S38" t="s">
        <v>136</v>
      </c>
      <c r="T38">
        <f>WEEKDAY(R38)</f>
        <v>5</v>
      </c>
      <c r="U38" s="26" t="str">
        <f t="shared" si="12"/>
        <v>Cắt FCO + MCCB TBA Sông Ray 7
Tiếp địa hạ thế tại MCCB TBA Sông Ray 7TBA Sông Ray 7</v>
      </c>
      <c r="V38" s="26" t="str">
        <f t="shared" si="13"/>
        <v>Đấu nối hạ thế, Nâng cấp đường dây hạ thế sau TBA Sông Ray 7cắt fco + mccb tba sông ray 7
tiếp địa hạ thế tại mccb tba sông ray 7TBA Sông Ray 7</v>
      </c>
      <c r="W38" s="26" t="str">
        <f t="shared" si="14"/>
        <v>Cắt FCO TBA Sông Ray 7</v>
      </c>
      <c r="X38" s="26" t="str">
        <f t="shared" si="15"/>
        <v>Tiếp địa tại Tiếp địa hạ thế tại MCCB TBA Sông Ray 7TBA Sông Ray 7</v>
      </c>
    </row>
    <row r="39" spans="1:24" ht="43.2">
      <c r="A39">
        <f>ROW()</f>
        <v>39</v>
      </c>
      <c r="C39" s="44">
        <v>44082</v>
      </c>
      <c r="D39" s="44"/>
      <c r="E39" s="6" t="s">
        <v>242</v>
      </c>
      <c r="F39" s="24" t="s">
        <v>246</v>
      </c>
      <c r="G39" s="47" t="s">
        <v>245</v>
      </c>
      <c r="H39" s="6"/>
      <c r="I39" s="59" t="s">
        <v>164</v>
      </c>
      <c r="J39" s="6"/>
      <c r="K39" s="24" t="s">
        <v>243</v>
      </c>
      <c r="L39" s="6" t="s">
        <v>244</v>
      </c>
      <c r="M39" s="6"/>
      <c r="N39" s="26">
        <f t="shared" ref="N39" si="20">M39+14</f>
        <v>14</v>
      </c>
      <c r="O39" s="26" t="str">
        <f t="array" ref="O39">_xlfn.TEXTJOIN(CHAR(10),TRUE,K39:L39)</f>
        <v>Cắt 1xFCO nhánh rẽ Thừa Đức 11
Tiếp địa trụ trạm Thừa Đức 11</v>
      </c>
      <c r="P39" s="26" t="str">
        <f t="shared" si="9"/>
        <v>Nhánh rẽ Thừa Đức 11</v>
      </c>
      <c r="Q39" s="26" t="str">
        <f t="shared" si="10"/>
        <v>Cắt 1xFCO nhánh rẽ Thừa Đức 11
Tiếp địa trụ trạm Thừa Đức 11Nhánh rẽ Thừa Đức 11</v>
      </c>
      <c r="R39" s="35">
        <v>44098</v>
      </c>
      <c r="S39" t="s">
        <v>136</v>
      </c>
      <c r="T39">
        <f>WEEKDAY(R39)</f>
        <v>5</v>
      </c>
      <c r="U39" s="26" t="str">
        <f t="shared" si="12"/>
        <v>Cắt 1xFCO nhánh rẽ Thừa Đức 11
Tiếp địa trụ trạm Thừa Đức 11Nhánh rẽ Thừa Đức 11</v>
      </c>
      <c r="V39" s="26" t="str">
        <f t="shared" si="13"/>
        <v>Đấu nối lưới trung thế Thừa Đức 11, cấy TBA Thừa Đức 11, tách 1 phần lưới hạ thế TBA Thừa Đức 11 sang nhận điện từ TBA Thừa Đức 11Acắt 1xfco nhánh rẽ thừa đức 11
tiếp địa trụ trạm thừa đức 11Nhánh rẽ Thừa Đức 11</v>
      </c>
      <c r="W39" s="26" t="str">
        <f t="shared" si="14"/>
        <v>Cắt FCO Nhánh rẽ Thừa Đức 11</v>
      </c>
      <c r="X39" s="26" t="str">
        <f t="shared" si="15"/>
        <v>Tiếp địa tại Tiếp địa trụ trạm Thừa Đức 11Nhánh rẽ Thừa Đức 11</v>
      </c>
    </row>
    <row r="40" spans="1:24" ht="43.2">
      <c r="A40">
        <f>ROW()</f>
        <v>40</v>
      </c>
      <c r="C40" s="44">
        <v>44062</v>
      </c>
      <c r="D40" s="44"/>
      <c r="E40" s="6" t="s">
        <v>248</v>
      </c>
      <c r="F40" s="24" t="s">
        <v>250</v>
      </c>
      <c r="G40" s="47" t="s">
        <v>252</v>
      </c>
      <c r="I40" s="59" t="s">
        <v>164</v>
      </c>
      <c r="J40" s="6"/>
      <c r="K40" s="45" t="s">
        <v>247</v>
      </c>
      <c r="L40" s="6" t="s">
        <v>249</v>
      </c>
      <c r="O40" s="26" t="str">
        <f t="array" ref="O40">_xlfn.TEXTJOIN(CHAR(10),TRUE,K40:L40)</f>
        <v>Cắt 1xFCO nhánh rẽ Suối Râm 7A
Tiếp địa trụ trung thế 002</v>
      </c>
    </row>
    <row r="41" spans="1:24">
      <c r="A41">
        <f>ROW()</f>
        <v>41</v>
      </c>
      <c r="C41" s="44">
        <v>44091</v>
      </c>
      <c r="D41" s="44"/>
      <c r="E41" s="6" t="s">
        <v>234</v>
      </c>
      <c r="F41" s="24" t="s">
        <v>238</v>
      </c>
      <c r="G41" s="47" t="s">
        <v>254</v>
      </c>
      <c r="H41" s="6" t="s">
        <v>231</v>
      </c>
      <c r="I41" s="59" t="s">
        <v>253</v>
      </c>
      <c r="J41" s="6"/>
      <c r="K41" s="24" t="s">
        <v>253</v>
      </c>
      <c r="L41" s="6"/>
      <c r="M41" s="6"/>
      <c r="N41" s="26">
        <f t="shared" ref="N41" si="21">M41+14</f>
        <v>14</v>
      </c>
      <c r="O41" s="26" t="str">
        <f>K41</f>
        <v>Cắt 02 MCCB phân đoạn tại trụ HTĐL 01</v>
      </c>
      <c r="P41" s="26" t="str">
        <f t="shared" ref="P41:P46" si="22">E41</f>
        <v>TBA Sông Ray 7</v>
      </c>
      <c r="Q41" s="26" t="str">
        <f>O41&amp;E41</f>
        <v>Cắt 02 MCCB phân đoạn tại trụ HTĐL 01TBA Sông Ray 7</v>
      </c>
      <c r="R41" s="35">
        <f>C41+14</f>
        <v>44105</v>
      </c>
      <c r="S41" t="s">
        <v>136</v>
      </c>
      <c r="T41">
        <f>WEEKDAY(R41)</f>
        <v>5</v>
      </c>
      <c r="U41" s="26" t="str">
        <f>O41&amp;E41</f>
        <v>Cắt 02 MCCB phân đoạn tại trụ HTĐL 01TBA Sông Ray 7</v>
      </c>
      <c r="V41" s="26" t="str">
        <f>F41&amp;LOWER(O41)&amp;E41</f>
        <v>Nâng cấp đường dây hạ thế sau TBA Sông Ray 7cắt 02 mccb phân đoạn tại trụ htđl 01TBA Sông Ray 7</v>
      </c>
      <c r="W41" s="26" t="str">
        <f t="shared" ref="W41:W46" si="23">"Cắt "&amp;I41&amp;P41</f>
        <v>Cắt Cắt 02 MCCB phân đoạn tại trụ HTĐL 01TBA Sông Ray 7</v>
      </c>
      <c r="X41" s="26" t="str">
        <f t="shared" ref="X41:X46" si="24">"Tiếp địa tại "&amp;L41&amp;E41</f>
        <v>Tiếp địa tại TBA Sông Ray 7</v>
      </c>
    </row>
    <row r="42" spans="1:24" ht="57.6">
      <c r="A42">
        <f>ROW()</f>
        <v>42</v>
      </c>
      <c r="B42" s="36" t="s">
        <v>333</v>
      </c>
      <c r="C42" s="62" t="s">
        <v>330</v>
      </c>
      <c r="D42" s="44" t="s">
        <v>47</v>
      </c>
      <c r="E42" s="6" t="s">
        <v>308</v>
      </c>
      <c r="F42" s="45" t="s">
        <v>309</v>
      </c>
      <c r="G42" s="47" t="s">
        <v>310</v>
      </c>
      <c r="I42" s="61" t="s">
        <v>311</v>
      </c>
      <c r="K42" s="61" t="s">
        <v>311</v>
      </c>
      <c r="L42" s="6" t="s">
        <v>316</v>
      </c>
      <c r="O42" s="51" t="str">
        <f t="shared" ref="O42:O46" si="25">K42&amp;CHAR(10)&amp;L42</f>
        <v>Cắt LBS khí Xuân Đà + 3 LTD
Cắt LBS khí Trung Ngãi + 3 LTD
Tiếp địa trụ trung thế trụ 3xFCO Nhánh rẽ An Phú Khánh 7</v>
      </c>
      <c r="P42" s="26" t="str">
        <f t="shared" si="22"/>
        <v>Nhánh rẽ An Phú Khánh 7</v>
      </c>
      <c r="W42" s="26" t="str">
        <f t="shared" si="23"/>
        <v>Cắt Cắt LBS khí Xuân Đà + 3 LTD
Cắt LBS khí Trung Ngãi + 3 LTDNhánh rẽ An Phú Khánh 7</v>
      </c>
      <c r="X42" s="26" t="str">
        <f t="shared" si="24"/>
        <v>Tiếp địa tại Tiếp địa trụ trung thế trụ 3xFCO Nhánh rẽ An Phú Khánh 7Nhánh rẽ An Phú Khánh 7</v>
      </c>
    </row>
    <row r="43" spans="1:24" ht="57.6">
      <c r="A43">
        <f>ROW()</f>
        <v>43</v>
      </c>
      <c r="B43" s="36" t="s">
        <v>333</v>
      </c>
      <c r="C43" s="62" t="s">
        <v>330</v>
      </c>
      <c r="D43" s="44" t="s">
        <v>47</v>
      </c>
      <c r="E43" s="6" t="s">
        <v>312</v>
      </c>
      <c r="F43" s="45" t="s">
        <v>313</v>
      </c>
      <c r="G43" s="47" t="s">
        <v>314</v>
      </c>
      <c r="I43" s="61" t="s">
        <v>311</v>
      </c>
      <c r="K43" s="61" t="s">
        <v>311</v>
      </c>
      <c r="L43" s="6" t="s">
        <v>315</v>
      </c>
      <c r="O43" s="51" t="str">
        <f t="shared" si="25"/>
        <v>Cắt LBS khí Xuân Đà + 3 LTD
Cắt LBS khí Trung Ngãi + 3 LTD
Tiếp địa trụ trung thế trụ 3xFCO Nhánh rẽ Hà Phương 4</v>
      </c>
      <c r="P43" s="26" t="str">
        <f t="shared" si="22"/>
        <v>Nhánh rẽ Hà Phương 4</v>
      </c>
      <c r="W43" s="26" t="str">
        <f t="shared" si="23"/>
        <v>Cắt Cắt LBS khí Xuân Đà + 3 LTD
Cắt LBS khí Trung Ngãi + 3 LTDNhánh rẽ Hà Phương 4</v>
      </c>
      <c r="X43" s="26" t="str">
        <f t="shared" si="24"/>
        <v>Tiếp địa tại Tiếp địa trụ trung thế trụ 3xFCO Nhánh rẽ Hà Phương 4Nhánh rẽ Hà Phương 4</v>
      </c>
    </row>
    <row r="44" spans="1:24" ht="57.6">
      <c r="A44">
        <f>ROW()</f>
        <v>44</v>
      </c>
      <c r="B44" s="36" t="s">
        <v>333</v>
      </c>
      <c r="C44" s="62" t="s">
        <v>330</v>
      </c>
      <c r="D44" s="44" t="s">
        <v>47</v>
      </c>
      <c r="E44" s="6" t="s">
        <v>317</v>
      </c>
      <c r="F44" s="45" t="s">
        <v>318</v>
      </c>
      <c r="G44" s="47" t="s">
        <v>319</v>
      </c>
      <c r="I44" s="61" t="s">
        <v>320</v>
      </c>
      <c r="K44" s="61" t="s">
        <v>321</v>
      </c>
      <c r="L44" s="6"/>
      <c r="O44" s="51" t="str">
        <f t="shared" si="25"/>
        <v xml:space="preserve">Cắt FCO Nhánh rẽ Cơ sở gạch Trần Thị Thế
Tiếp địa tại trụ 006 Nhánh rẽ Cơ sở gạch Trần Thị Thế
</v>
      </c>
      <c r="P44" s="26" t="str">
        <f t="shared" si="22"/>
        <v>Nhánh rẽ Cơ sở gạch Trần Thị Thế</v>
      </c>
      <c r="W44" s="26" t="str">
        <f t="shared" si="23"/>
        <v>Cắt Cắt FCO Nhánh rẽ Cơ sở gạch Trần Thị ThếNhánh rẽ Cơ sở gạch Trần Thị Thế</v>
      </c>
      <c r="X44" s="26" t="str">
        <f t="shared" si="24"/>
        <v>Tiếp địa tại Nhánh rẽ Cơ sở gạch Trần Thị Thế</v>
      </c>
    </row>
    <row r="45" spans="1:24" ht="43.2">
      <c r="A45">
        <f>ROW()</f>
        <v>45</v>
      </c>
      <c r="B45" s="36" t="s">
        <v>333</v>
      </c>
      <c r="C45" s="62" t="s">
        <v>330</v>
      </c>
      <c r="D45" s="44" t="s">
        <v>47</v>
      </c>
      <c r="E45" s="6" t="s">
        <v>322</v>
      </c>
      <c r="F45" s="45" t="s">
        <v>323</v>
      </c>
      <c r="G45" s="45" t="s">
        <v>324</v>
      </c>
      <c r="I45" s="61" t="s">
        <v>325</v>
      </c>
      <c r="K45" s="61"/>
      <c r="L45" s="45" t="s">
        <v>326</v>
      </c>
      <c r="O45" s="51" t="str">
        <f t="shared" si="25"/>
        <v xml:space="preserve">
Tiếp địa trụ 078 nhánh rẽ Trảng Táo</v>
      </c>
      <c r="P45" s="26" t="str">
        <f t="shared" si="22"/>
        <v>Nhánh rẽ Trảng Táo</v>
      </c>
      <c r="W45" s="26" t="str">
        <f t="shared" si="23"/>
        <v>Cắt Kết hợp Cắt MC 479 Gia Ui
Cắt Recloser Mũi Tàu
Cắt Recloser ESG ĐạtNhánh rẽ Trảng Táo</v>
      </c>
      <c r="X45" s="26" t="str">
        <f t="shared" si="24"/>
        <v>Tiếp địa tại Tiếp địa trụ 078 nhánh rẽ Trảng TáoNhánh rẽ Trảng Táo</v>
      </c>
    </row>
    <row r="46" spans="1:24" ht="57.6">
      <c r="A46">
        <f>ROW()</f>
        <v>46</v>
      </c>
      <c r="B46" s="36" t="s">
        <v>333</v>
      </c>
      <c r="C46" s="62" t="s">
        <v>330</v>
      </c>
      <c r="D46" s="44" t="s">
        <v>47</v>
      </c>
      <c r="E46" s="6" t="s">
        <v>327</v>
      </c>
      <c r="F46" s="45" t="s">
        <v>309</v>
      </c>
      <c r="G46" s="47" t="s">
        <v>328</v>
      </c>
      <c r="I46" s="61" t="s">
        <v>311</v>
      </c>
      <c r="K46" s="61" t="s">
        <v>311</v>
      </c>
      <c r="L46" s="6" t="s">
        <v>329</v>
      </c>
      <c r="O46" s="51" t="str">
        <f t="shared" si="25"/>
        <v>Cắt LBS khí Xuân Đà + 3 LTD
Cắt LBS khí Trung Ngãi + 3 LTD
Tiếp địa trụ trung thế trụ 3xFCO Nhánh rẽ An Phát Tiến</v>
      </c>
      <c r="P46" s="26" t="str">
        <f t="shared" si="22"/>
        <v>Nhánh rẽ An Phát Tiến</v>
      </c>
      <c r="W46" s="26" t="str">
        <f t="shared" si="23"/>
        <v>Cắt Cắt LBS khí Xuân Đà + 3 LTD
Cắt LBS khí Trung Ngãi + 3 LTDNhánh rẽ An Phát Tiến</v>
      </c>
      <c r="X46" s="26" t="str">
        <f t="shared" si="24"/>
        <v>Tiếp địa tại Tiếp địa trụ trung thế trụ 3xFCO Nhánh rẽ An Phát TiếnNhánh rẽ An Phát Tiến</v>
      </c>
    </row>
    <row r="47" spans="1:24" ht="86.4">
      <c r="A47">
        <f>ROW()</f>
        <v>47</v>
      </c>
      <c r="B47" s="36" t="s">
        <v>333</v>
      </c>
      <c r="C47" s="62" t="s">
        <v>264</v>
      </c>
      <c r="D47" s="44" t="s">
        <v>47</v>
      </c>
      <c r="E47" s="6" t="s">
        <v>334</v>
      </c>
      <c r="F47" s="45" t="s">
        <v>335</v>
      </c>
      <c r="G47" s="47" t="s">
        <v>336</v>
      </c>
      <c r="I47" s="61" t="s">
        <v>337</v>
      </c>
      <c r="K47" s="61" t="s">
        <v>337</v>
      </c>
      <c r="L47" s="6" t="s">
        <v>338</v>
      </c>
      <c r="O47" s="51" t="str">
        <f t="shared" ref="O47:O53" si="26">K47&amp;CHAR(10)&amp;L47</f>
        <v>3xFCO  nhánh rẽ Hoàng Thi Xuân Hương
3xFCO  nhánh rẽ Vi Solar
Tiếp địa trung thế 021 nhánh rẽ Hoàng Thi Xuân Hương
Tiếp địa trung thế 022 nhánh rẽ Hoàng Thi Xuân Hương</v>
      </c>
      <c r="P47" s="26" t="str">
        <f t="shared" ref="P47:P53" si="27">E47</f>
        <v>Nhánh rẽ Hoàng Thi Xuân Hương</v>
      </c>
      <c r="W47" s="26" t="str">
        <f t="shared" ref="W47:W53" si="28">"Cắt "&amp;I47&amp;P47</f>
        <v>Cắt 3xFCO  nhánh rẽ Hoàng Thi Xuân Hương
3xFCO  nhánh rẽ Vi Solar
Tiếp địa trung thế 021 nhánh rẽ Hoàng Thi Xuân HươngNhánh rẽ Hoàng Thi Xuân Hương</v>
      </c>
      <c r="X47" s="26" t="str">
        <f t="shared" ref="X47:X53" si="29">"Tiếp địa tại "&amp;L47&amp;E47</f>
        <v>Tiếp địa tại Tiếp địa trung thế 022 nhánh rẽ Hoàng Thi Xuân HươngNhánh rẽ Hoàng Thi Xuân Hương</v>
      </c>
    </row>
    <row r="48" spans="1:24" ht="72">
      <c r="A48">
        <f>ROW()</f>
        <v>48</v>
      </c>
      <c r="B48" s="36" t="s">
        <v>333</v>
      </c>
      <c r="C48" s="62" t="s">
        <v>264</v>
      </c>
      <c r="D48" s="44" t="s">
        <v>47</v>
      </c>
      <c r="E48" s="6" t="s">
        <v>339</v>
      </c>
      <c r="F48" s="45" t="s">
        <v>340</v>
      </c>
      <c r="G48" s="47" t="s">
        <v>341</v>
      </c>
      <c r="I48" s="61" t="s">
        <v>342</v>
      </c>
      <c r="K48" s="61" t="s">
        <v>343</v>
      </c>
      <c r="L48" s="24" t="s">
        <v>344</v>
      </c>
      <c r="O48" s="51" t="str">
        <f t="shared" si="26"/>
        <v>Cắt LBS khí Xuân Thành + 3 LTD
Tiếp địa trung thế 042 Nhánh rẽ Tân Hữu
Tiếp địa hạ thế TBA Tân Hữu 2
Tiếp địa trung thế 044, 045 Nhánh rẽ Tân Hữu</v>
      </c>
      <c r="P48" s="26" t="str">
        <f t="shared" si="27"/>
        <v>Nhánh rẽ Tân Hữu</v>
      </c>
      <c r="W48" s="26" t="str">
        <f t="shared" si="28"/>
        <v>Cắt Cắt LBS khí Xuân Thành + 3 LTDNhánh rẽ Tân Hữu</v>
      </c>
      <c r="X48" s="26" t="str">
        <f t="shared" si="29"/>
        <v>Tiếp địa tại Tiếp địa hạ thế TBA Tân Hữu 2
Tiếp địa trung thế 044, 045 Nhánh rẽ Tân HữuNhánh rẽ Tân Hữu</v>
      </c>
    </row>
    <row r="49" spans="1:24" ht="86.4">
      <c r="A49">
        <f>ROW()</f>
        <v>49</v>
      </c>
      <c r="B49" s="36" t="s">
        <v>333</v>
      </c>
      <c r="C49" s="62" t="s">
        <v>264</v>
      </c>
      <c r="D49" s="44" t="s">
        <v>47</v>
      </c>
      <c r="E49" s="6" t="s">
        <v>345</v>
      </c>
      <c r="F49" s="45" t="s">
        <v>335</v>
      </c>
      <c r="G49" s="47" t="s">
        <v>346</v>
      </c>
      <c r="I49" s="61" t="s">
        <v>342</v>
      </c>
      <c r="K49" s="61" t="s">
        <v>349</v>
      </c>
      <c r="L49" s="61" t="s">
        <v>347</v>
      </c>
      <c r="O49" s="51" t="str">
        <f t="shared" si="26"/>
        <v>Cắt LBS khí Xuân Thành + 3 LTD
Tiếp địa trung thế 092 tuyến 473 Xuân Trường
Tiếp địa trung thế 145, 146 tuyến 473 Xuân Trường
Tiếp địa hạ thế TBA Xuân Thành 4</v>
      </c>
      <c r="P49" s="26" t="str">
        <f t="shared" si="27"/>
        <v>473 Xuân Trường</v>
      </c>
      <c r="W49" s="26" t="str">
        <f t="shared" si="28"/>
        <v>Cắt Cắt LBS khí Xuân Thành + 3 LTD473 Xuân Trường</v>
      </c>
      <c r="X49" s="26" t="str">
        <f t="shared" si="29"/>
        <v>Tiếp địa tại Tiếp địa trung thế 145, 146 tuyến 473 Xuân Trường
Tiếp địa hạ thế TBA Xuân Thành 4473 Xuân Trường</v>
      </c>
    </row>
    <row r="50" spans="1:24" ht="72">
      <c r="A50">
        <f>ROW()</f>
        <v>50</v>
      </c>
      <c r="B50" s="36" t="s">
        <v>333</v>
      </c>
      <c r="C50" s="62" t="s">
        <v>264</v>
      </c>
      <c r="D50" s="44" t="s">
        <v>47</v>
      </c>
      <c r="E50" s="6" t="s">
        <v>348</v>
      </c>
      <c r="F50" s="45" t="s">
        <v>340</v>
      </c>
      <c r="G50" s="47" t="s">
        <v>350</v>
      </c>
      <c r="I50" s="61" t="s">
        <v>342</v>
      </c>
      <c r="K50" s="61" t="s">
        <v>349</v>
      </c>
      <c r="L50" s="24" t="s">
        <v>351</v>
      </c>
      <c r="O50" s="51" t="str">
        <f t="shared" si="26"/>
        <v>Cắt LBS khí Xuân Thành + 3 LTD
Tiếp địa trung thế 092 tuyến 473 Xuân Trường
Tiếp địa trụ trung thế trụ Tại Trụ 053, 071 Nhánh rẽ Công ty Kim Ngọc Phan</v>
      </c>
      <c r="P50" s="26" t="str">
        <f t="shared" si="27"/>
        <v>Nhánh rẽ Công ty Kim Ngọc Phan</v>
      </c>
      <c r="W50" s="26" t="str">
        <f t="shared" si="28"/>
        <v>Cắt Cắt LBS khí Xuân Thành + 3 LTDNhánh rẽ Công ty Kim Ngọc Phan</v>
      </c>
      <c r="X50" s="26" t="str">
        <f t="shared" si="29"/>
        <v>Tiếp địa tại Tiếp địa trụ trung thế trụ Tại Trụ 053, 071 Nhánh rẽ Công ty Kim Ngọc PhanNhánh rẽ Công ty Kim Ngọc Phan</v>
      </c>
    </row>
    <row r="51" spans="1:24" ht="100.8">
      <c r="A51">
        <f>ROW()</f>
        <v>51</v>
      </c>
      <c r="B51" s="36" t="s">
        <v>333</v>
      </c>
      <c r="C51" s="62" t="s">
        <v>264</v>
      </c>
      <c r="D51" s="44" t="s">
        <v>47</v>
      </c>
      <c r="E51" s="6" t="s">
        <v>352</v>
      </c>
      <c r="F51" s="45" t="s">
        <v>335</v>
      </c>
      <c r="G51" s="47" t="str">
        <f>"Từ trụ 042 đến trụ 043 "&amp;E51</f>
        <v>Từ trụ 042 đến trụ 043 Nhánh rẽ Tam Hiệp 6, 7</v>
      </c>
      <c r="I51" s="63" t="str">
        <f>"Cắt 3xFCO "&amp;E51&amp;CHAR(10)&amp;"Tiếp địa trung thế tại trụ "&amp;E51&amp;CHAR(10)&amp;"Tiếp địa hạ thế tại trụ TBA "&amp;E51</f>
        <v>Cắt 3xFCO Nhánh rẽ Tam Hiệp 6, 7
Tiếp địa trung thế tại trụ Nhánh rẽ Tam Hiệp 6, 7
Tiếp địa hạ thế tại trụ TBA Nhánh rẽ Tam Hiệp 6, 7</v>
      </c>
      <c r="K51" s="61" t="s">
        <v>353</v>
      </c>
      <c r="L51" s="24" t="s">
        <v>354</v>
      </c>
      <c r="O51" s="51" t="str">
        <f t="shared" si="26"/>
        <v>Cắt 3xFCO Nhánh rẽ Tam Hiệp 6, 7
Tiếp địa trung thế tại trụ 003 Nhánh rẽ Tam Hiệp 6, 7
Tiếp địa trung thế tại trụ 045, 060, 068 Nhánh rẽ Tam Hiệp 6, 7
Tiếp địa hạ thế tại trụ TBA Tam Hiệp 6, Tam Hiệp 7</v>
      </c>
      <c r="P51" s="26" t="str">
        <f t="shared" si="27"/>
        <v>Nhánh rẽ Tam Hiệp 6, 7</v>
      </c>
      <c r="W51" s="26" t="str">
        <f t="shared" si="28"/>
        <v>Cắt Cắt 3xFCO Nhánh rẽ Tam Hiệp 6, 7
Tiếp địa trung thế tại trụ Nhánh rẽ Tam Hiệp 6, 7
Tiếp địa hạ thế tại trụ TBA Nhánh rẽ Tam Hiệp 6, 7Nhánh rẽ Tam Hiệp 6, 7</v>
      </c>
      <c r="X51" s="26" t="str">
        <f t="shared" si="29"/>
        <v>Tiếp địa tại Tiếp địa trung thế tại trụ 045, 060, 068 Nhánh rẽ Tam Hiệp 6, 7
Tiếp địa hạ thế tại trụ TBA Tam Hiệp 6, Tam Hiệp 7Nhánh rẽ Tam Hiệp 6, 7</v>
      </c>
    </row>
    <row r="52" spans="1:24" ht="129.6">
      <c r="A52">
        <f>ROW()</f>
        <v>52</v>
      </c>
      <c r="B52" s="36" t="s">
        <v>333</v>
      </c>
      <c r="C52" s="62"/>
      <c r="D52" s="44" t="s">
        <v>47</v>
      </c>
      <c r="E52" s="6" t="s">
        <v>355</v>
      </c>
      <c r="F52" s="24" t="s">
        <v>356</v>
      </c>
      <c r="G52" s="47" t="s">
        <v>357</v>
      </c>
      <c r="I52" s="63" t="str">
        <f t="shared" ref="I52:I110" si="30">"Cắt 3xFCO "&amp;E52&amp;CHAR(10)&amp;"Tiếp địa trung thế tại trụ "&amp;E52&amp;CHAR(10)&amp;"Tiếp địa hạ thế tại trụ TBA "&amp;E52</f>
        <v>Cắt 3xFCO Nhánh rẽ Bùi Đình Đức
Tiếp địa trung thế tại trụ Nhánh rẽ Bùi Đình Đức
Tiếp địa hạ thế tại trụ TBA Nhánh rẽ Bùi Đình Đức</v>
      </c>
      <c r="K52" s="64" t="s">
        <v>358</v>
      </c>
      <c r="L52" s="24" t="s">
        <v>359</v>
      </c>
      <c r="O52" s="51" t="str">
        <f t="shared" si="26"/>
        <v>Cắt 3xFCO Nhánh rẽ Xuân Phú 9, 10
Tiếp địa trung thế tại trụ 014 Nhánh rẽ Xuân Phú 9, 10
Tiếp địa trung thế tại trụ 005 Nhánh rẽ Xuân Phú 9A
Tiếp địa trung thế tại trụ 002, 019, 022 Nhánh rẽ Bùi Đình Đức
Tiếp địa trung thế tại trụ 038 Nhánh rẽ Vũ Tuấn Anh</v>
      </c>
      <c r="P52" s="26" t="str">
        <f t="shared" si="27"/>
        <v>Nhánh rẽ Bùi Đình Đức</v>
      </c>
      <c r="W52" s="26" t="str">
        <f t="shared" si="28"/>
        <v>Cắt Cắt 3xFCO Nhánh rẽ Bùi Đình Đức
Tiếp địa trung thế tại trụ Nhánh rẽ Bùi Đình Đức
Tiếp địa hạ thế tại trụ TBA Nhánh rẽ Bùi Đình ĐứcNhánh rẽ Bùi Đình Đức</v>
      </c>
      <c r="X52" s="26" t="str">
        <f t="shared" si="29"/>
        <v>Tiếp địa tại Tiếp địa trung thế tại trụ 005 Nhánh rẽ Xuân Phú 9A
Tiếp địa trung thế tại trụ 002, 019, 022 Nhánh rẽ Bùi Đình Đức
Tiếp địa trung thế tại trụ 038 Nhánh rẽ Vũ Tuấn AnhNhánh rẽ Bùi Đình Đức</v>
      </c>
    </row>
    <row r="53" spans="1:24" ht="129.6">
      <c r="A53">
        <f>ROW()</f>
        <v>53</v>
      </c>
      <c r="B53" s="36" t="s">
        <v>333</v>
      </c>
      <c r="C53" s="62"/>
      <c r="D53" s="44" t="s">
        <v>47</v>
      </c>
      <c r="E53" s="6" t="s">
        <v>360</v>
      </c>
      <c r="F53" s="45" t="s">
        <v>335</v>
      </c>
      <c r="G53" s="47" t="s">
        <v>361</v>
      </c>
      <c r="I53" s="63" t="str">
        <f t="shared" si="30"/>
        <v>Cắt 3xFCO Nhánh rẽ Bàu Sình 4, 5
Tiếp địa trung thế tại trụ Nhánh rẽ Bàu Sình 4, 5
Tiếp địa hạ thế tại trụ TBA Nhánh rẽ Bàu Sình 4, 5</v>
      </c>
      <c r="K53" s="64" t="s">
        <v>362</v>
      </c>
      <c r="L53" s="24" t="s">
        <v>363</v>
      </c>
      <c r="O53" s="51" t="str">
        <f t="shared" si="26"/>
        <v>Cắt 3xFCO Nhánh rẽ Bàu Sình 4, 5
Tiếp địa trung thế tại trụ 002 Nhánh rẽ Bàu Sình 4, 5
Tiếp địa trung thế tại trụ 011, 027 Nhánh rẽ Bàu Sình 4, 5
Tiếp địa trung thế tại trụ 002 024 Nhánh rẽ Công ty Nam Việt Hoàng
Tiếp địa trung thế tại trụ 036A/001 Nhánh rẽ Công ty Green ECO</v>
      </c>
      <c r="P53" s="26" t="str">
        <f t="shared" si="27"/>
        <v>Nhánh rẽ Bàu Sình 4, 5</v>
      </c>
      <c r="W53" s="26" t="str">
        <f t="shared" si="28"/>
        <v>Cắt Cắt 3xFCO Nhánh rẽ Bàu Sình 4, 5
Tiếp địa trung thế tại trụ Nhánh rẽ Bàu Sình 4, 5
Tiếp địa hạ thế tại trụ TBA Nhánh rẽ Bàu Sình 4, 5Nhánh rẽ Bàu Sình 4, 5</v>
      </c>
      <c r="X53" s="26" t="str">
        <f t="shared" si="29"/>
        <v>Tiếp địa tại Tiếp địa trung thế tại trụ 011, 027 Nhánh rẽ Bàu Sình 4, 5
Tiếp địa trung thế tại trụ 002 024 Nhánh rẽ Công ty Nam Việt Hoàng
Tiếp địa trung thế tại trụ 036A/001 Nhánh rẽ Công ty Green ECONhánh rẽ Bàu Sình 4, 5</v>
      </c>
    </row>
    <row r="54" spans="1:24" ht="72">
      <c r="A54">
        <f>ROW()</f>
        <v>54</v>
      </c>
      <c r="B54" s="36" t="s">
        <v>333</v>
      </c>
      <c r="D54" s="44" t="s">
        <v>47</v>
      </c>
      <c r="E54" s="6" t="s">
        <v>364</v>
      </c>
      <c r="F54" s="45" t="s">
        <v>340</v>
      </c>
      <c r="G54" s="47" t="s">
        <v>365</v>
      </c>
      <c r="I54" s="63" t="str">
        <f t="shared" si="30"/>
        <v>Cắt 3xFCO Nhánh rẽ Bàu Sình 6
Tiếp địa trung thế tại trụ Nhánh rẽ Bàu Sình 6
Tiếp địa hạ thế tại trụ TBA Nhánh rẽ Bàu Sình 6</v>
      </c>
      <c r="K54" s="64" t="s">
        <v>362</v>
      </c>
      <c r="L54" s="24" t="s">
        <v>366</v>
      </c>
    </row>
    <row r="55" spans="1:24" ht="100.8">
      <c r="A55">
        <f>ROW()</f>
        <v>55</v>
      </c>
      <c r="B55" s="36" t="s">
        <v>333</v>
      </c>
      <c r="D55" s="44" t="s">
        <v>47</v>
      </c>
      <c r="E55" s="6" t="s">
        <v>367</v>
      </c>
      <c r="F55" s="45" t="s">
        <v>340</v>
      </c>
      <c r="G55" s="47" t="s">
        <v>368</v>
      </c>
      <c r="I55" s="63" t="str">
        <f t="shared" si="30"/>
        <v>Cắt 3xFCO Nhánh rẽ Trang Trại Nguyễn Đăng Nam
Tiếp địa trung thế tại trụ Nhánh rẽ Trang Trại Nguyễn Đăng Nam
Tiếp địa hạ thế tại trụ TBA Nhánh rẽ Trang Trại Nguyễn Đăng Nam</v>
      </c>
      <c r="K55" s="64" t="s">
        <v>369</v>
      </c>
      <c r="L55" s="24" t="s">
        <v>370</v>
      </c>
    </row>
    <row r="56" spans="1:24" ht="100.8">
      <c r="A56">
        <f>ROW()</f>
        <v>56</v>
      </c>
      <c r="B56" s="36" t="s">
        <v>371</v>
      </c>
      <c r="C56" s="56">
        <v>44259</v>
      </c>
      <c r="D56" s="41" t="s">
        <v>46</v>
      </c>
      <c r="E56" s="41" t="s">
        <v>372</v>
      </c>
      <c r="F56" s="41" t="s">
        <v>377</v>
      </c>
      <c r="G56" s="47" t="str">
        <f>"Tại trụ 120 đến trụ 135 "&amp;E56</f>
        <v>Tại trụ 120 đến trụ 135 Nhánh rẽ Láng Me 5B</v>
      </c>
      <c r="H56" s="41" t="s">
        <v>231</v>
      </c>
      <c r="I56" s="63" t="str">
        <f t="shared" si="30"/>
        <v>Cắt 3xFCO Nhánh rẽ Láng Me 5B
Tiếp địa trung thế tại trụ Nhánh rẽ Láng Me 5B
Tiếp địa hạ thế tại trụ TBA Nhánh rẽ Láng Me 5B</v>
      </c>
      <c r="K56" s="61" t="s">
        <v>375</v>
      </c>
      <c r="L56" s="24" t="s">
        <v>376</v>
      </c>
    </row>
    <row r="57" spans="1:24" ht="43.2">
      <c r="A57">
        <f>ROW()</f>
        <v>57</v>
      </c>
      <c r="D57" s="44"/>
      <c r="G57" s="47" t="str">
        <f t="shared" ref="G56:G66" si="31">"Tại trụ 145 đến trụ 146 "&amp;E57</f>
        <v xml:space="preserve">Tại trụ 145 đến trụ 146 </v>
      </c>
      <c r="I57" s="63" t="str">
        <f t="shared" si="30"/>
        <v xml:space="preserve">Cắt 3xFCO 
Tiếp địa trung thế tại trụ 
Tiếp địa hạ thế tại trụ TBA </v>
      </c>
      <c r="K57" s="61" t="str">
        <f t="shared" ref="K56:K110" si="32">I57</f>
        <v xml:space="preserve">Cắt 3xFCO 
Tiếp địa trung thế tại trụ 
Tiếp địa hạ thế tại trụ TBA </v>
      </c>
      <c r="L57" s="24" t="str">
        <f t="shared" ref="L56:L110" si="33">I57</f>
        <v xml:space="preserve">Cắt 3xFCO 
Tiếp địa trung thế tại trụ 
Tiếp địa hạ thế tại trụ TBA </v>
      </c>
    </row>
    <row r="58" spans="1:24" ht="43.2">
      <c r="A58">
        <f>ROW()</f>
        <v>58</v>
      </c>
      <c r="D58" s="44"/>
      <c r="G58" s="47" t="str">
        <f t="shared" si="31"/>
        <v xml:space="preserve">Tại trụ 145 đến trụ 146 </v>
      </c>
      <c r="I58" s="63" t="str">
        <f t="shared" si="30"/>
        <v xml:space="preserve">Cắt 3xFCO 
Tiếp địa trung thế tại trụ 
Tiếp địa hạ thế tại trụ TBA </v>
      </c>
      <c r="K58" s="61" t="str">
        <f t="shared" si="32"/>
        <v xml:space="preserve">Cắt 3xFCO 
Tiếp địa trung thế tại trụ 
Tiếp địa hạ thế tại trụ TBA </v>
      </c>
      <c r="L58" s="24" t="str">
        <f t="shared" si="33"/>
        <v xml:space="preserve">Cắt 3xFCO 
Tiếp địa trung thế tại trụ 
Tiếp địa hạ thế tại trụ TBA </v>
      </c>
    </row>
    <row r="59" spans="1:24" ht="43.2">
      <c r="A59">
        <f>ROW()</f>
        <v>59</v>
      </c>
      <c r="D59" s="44"/>
      <c r="G59" s="47" t="str">
        <f t="shared" si="31"/>
        <v xml:space="preserve">Tại trụ 145 đến trụ 146 </v>
      </c>
      <c r="I59" s="63" t="str">
        <f t="shared" si="30"/>
        <v xml:space="preserve">Cắt 3xFCO 
Tiếp địa trung thế tại trụ 
Tiếp địa hạ thế tại trụ TBA </v>
      </c>
      <c r="K59" s="61" t="str">
        <f t="shared" si="32"/>
        <v xml:space="preserve">Cắt 3xFCO 
Tiếp địa trung thế tại trụ 
Tiếp địa hạ thế tại trụ TBA </v>
      </c>
      <c r="L59" s="24" t="str">
        <f t="shared" si="33"/>
        <v xml:space="preserve">Cắt 3xFCO 
Tiếp địa trung thế tại trụ 
Tiếp địa hạ thế tại trụ TBA </v>
      </c>
    </row>
    <row r="60" spans="1:24" ht="43.2">
      <c r="A60">
        <f>ROW()</f>
        <v>60</v>
      </c>
      <c r="D60" s="44"/>
      <c r="G60" s="47" t="str">
        <f t="shared" si="31"/>
        <v xml:space="preserve">Tại trụ 145 đến trụ 146 </v>
      </c>
      <c r="I60" s="63" t="str">
        <f t="shared" si="30"/>
        <v xml:space="preserve">Cắt 3xFCO 
Tiếp địa trung thế tại trụ 
Tiếp địa hạ thế tại trụ TBA </v>
      </c>
      <c r="K60" s="61" t="str">
        <f t="shared" si="32"/>
        <v xml:space="preserve">Cắt 3xFCO 
Tiếp địa trung thế tại trụ 
Tiếp địa hạ thế tại trụ TBA </v>
      </c>
      <c r="L60" s="24" t="str">
        <f t="shared" si="33"/>
        <v xml:space="preserve">Cắt 3xFCO 
Tiếp địa trung thế tại trụ 
Tiếp địa hạ thế tại trụ TBA </v>
      </c>
    </row>
    <row r="61" spans="1:24" ht="43.2">
      <c r="A61">
        <f>ROW()</f>
        <v>61</v>
      </c>
      <c r="D61" s="44"/>
      <c r="G61" s="47" t="str">
        <f t="shared" si="31"/>
        <v xml:space="preserve">Tại trụ 145 đến trụ 146 </v>
      </c>
      <c r="I61" s="63" t="str">
        <f t="shared" si="30"/>
        <v xml:space="preserve">Cắt 3xFCO 
Tiếp địa trung thế tại trụ 
Tiếp địa hạ thế tại trụ TBA </v>
      </c>
      <c r="K61" s="61" t="str">
        <f t="shared" si="32"/>
        <v xml:space="preserve">Cắt 3xFCO 
Tiếp địa trung thế tại trụ 
Tiếp địa hạ thế tại trụ TBA </v>
      </c>
      <c r="L61" s="24" t="str">
        <f t="shared" si="33"/>
        <v xml:space="preserve">Cắt 3xFCO 
Tiếp địa trung thế tại trụ 
Tiếp địa hạ thế tại trụ TBA </v>
      </c>
    </row>
    <row r="62" spans="1:24" ht="43.2">
      <c r="A62">
        <f>ROW()</f>
        <v>62</v>
      </c>
      <c r="D62" s="44"/>
      <c r="G62" s="47" t="str">
        <f t="shared" si="31"/>
        <v xml:space="preserve">Tại trụ 145 đến trụ 146 </v>
      </c>
      <c r="I62" s="63" t="str">
        <f t="shared" si="30"/>
        <v xml:space="preserve">Cắt 3xFCO 
Tiếp địa trung thế tại trụ 
Tiếp địa hạ thế tại trụ TBA </v>
      </c>
      <c r="K62" s="61" t="str">
        <f t="shared" si="32"/>
        <v xml:space="preserve">Cắt 3xFCO 
Tiếp địa trung thế tại trụ 
Tiếp địa hạ thế tại trụ TBA </v>
      </c>
      <c r="L62" s="24" t="str">
        <f t="shared" si="33"/>
        <v xml:space="preserve">Cắt 3xFCO 
Tiếp địa trung thế tại trụ 
Tiếp địa hạ thế tại trụ TBA </v>
      </c>
    </row>
    <row r="63" spans="1:24" ht="43.2">
      <c r="A63">
        <f>ROW()</f>
        <v>63</v>
      </c>
      <c r="D63" s="44"/>
      <c r="G63" s="47" t="str">
        <f t="shared" si="31"/>
        <v xml:space="preserve">Tại trụ 145 đến trụ 146 </v>
      </c>
      <c r="I63" s="63" t="str">
        <f t="shared" si="30"/>
        <v xml:space="preserve">Cắt 3xFCO 
Tiếp địa trung thế tại trụ 
Tiếp địa hạ thế tại trụ TBA </v>
      </c>
      <c r="K63" s="61" t="str">
        <f t="shared" si="32"/>
        <v xml:space="preserve">Cắt 3xFCO 
Tiếp địa trung thế tại trụ 
Tiếp địa hạ thế tại trụ TBA </v>
      </c>
      <c r="L63" s="24" t="str">
        <f t="shared" si="33"/>
        <v xml:space="preserve">Cắt 3xFCO 
Tiếp địa trung thế tại trụ 
Tiếp địa hạ thế tại trụ TBA </v>
      </c>
    </row>
    <row r="64" spans="1:24" ht="43.2">
      <c r="A64">
        <f>ROW()</f>
        <v>64</v>
      </c>
      <c r="D64" s="44"/>
      <c r="G64" s="47" t="str">
        <f t="shared" si="31"/>
        <v xml:space="preserve">Tại trụ 145 đến trụ 146 </v>
      </c>
      <c r="I64" s="63" t="str">
        <f t="shared" si="30"/>
        <v xml:space="preserve">Cắt 3xFCO 
Tiếp địa trung thế tại trụ 
Tiếp địa hạ thế tại trụ TBA </v>
      </c>
      <c r="K64" s="61" t="str">
        <f t="shared" si="32"/>
        <v xml:space="preserve">Cắt 3xFCO 
Tiếp địa trung thế tại trụ 
Tiếp địa hạ thế tại trụ TBA </v>
      </c>
      <c r="L64" s="24" t="str">
        <f t="shared" si="33"/>
        <v xml:space="preserve">Cắt 3xFCO 
Tiếp địa trung thế tại trụ 
Tiếp địa hạ thế tại trụ TBA </v>
      </c>
    </row>
    <row r="65" spans="1:12" ht="43.2">
      <c r="A65">
        <f>ROW()</f>
        <v>65</v>
      </c>
      <c r="D65" s="44"/>
      <c r="G65" s="47" t="str">
        <f t="shared" si="31"/>
        <v xml:space="preserve">Tại trụ 145 đến trụ 146 </v>
      </c>
      <c r="I65" s="63" t="str">
        <f t="shared" si="30"/>
        <v xml:space="preserve">Cắt 3xFCO 
Tiếp địa trung thế tại trụ 
Tiếp địa hạ thế tại trụ TBA </v>
      </c>
      <c r="K65" s="61" t="str">
        <f t="shared" si="32"/>
        <v xml:space="preserve">Cắt 3xFCO 
Tiếp địa trung thế tại trụ 
Tiếp địa hạ thế tại trụ TBA </v>
      </c>
      <c r="L65" s="24" t="str">
        <f t="shared" si="33"/>
        <v xml:space="preserve">Cắt 3xFCO 
Tiếp địa trung thế tại trụ 
Tiếp địa hạ thế tại trụ TBA </v>
      </c>
    </row>
    <row r="66" spans="1:12" ht="43.2">
      <c r="A66">
        <f>ROW()</f>
        <v>66</v>
      </c>
      <c r="D66" s="44"/>
      <c r="G66" s="47" t="str">
        <f t="shared" si="31"/>
        <v xml:space="preserve">Tại trụ 145 đến trụ 146 </v>
      </c>
      <c r="I66" s="63" t="str">
        <f t="shared" si="30"/>
        <v xml:space="preserve">Cắt 3xFCO 
Tiếp địa trung thế tại trụ 
Tiếp địa hạ thế tại trụ TBA </v>
      </c>
      <c r="K66" s="61" t="str">
        <f t="shared" si="32"/>
        <v xml:space="preserve">Cắt 3xFCO 
Tiếp địa trung thế tại trụ 
Tiếp địa hạ thế tại trụ TBA </v>
      </c>
      <c r="L66" s="24" t="str">
        <f t="shared" si="33"/>
        <v xml:space="preserve">Cắt 3xFCO 
Tiếp địa trung thế tại trụ 
Tiếp địa hạ thế tại trụ TBA </v>
      </c>
    </row>
    <row r="67" spans="1:12" ht="43.2">
      <c r="A67">
        <f>ROW()</f>
        <v>67</v>
      </c>
      <c r="D67" s="44"/>
      <c r="I67" s="63" t="str">
        <f t="shared" si="30"/>
        <v xml:space="preserve">Cắt 3xFCO 
Tiếp địa trung thế tại trụ 
Tiếp địa hạ thế tại trụ TBA </v>
      </c>
      <c r="K67" s="61" t="str">
        <f t="shared" si="32"/>
        <v xml:space="preserve">Cắt 3xFCO 
Tiếp địa trung thế tại trụ 
Tiếp địa hạ thế tại trụ TBA </v>
      </c>
      <c r="L67" s="24" t="str">
        <f t="shared" si="33"/>
        <v xml:space="preserve">Cắt 3xFCO 
Tiếp địa trung thế tại trụ 
Tiếp địa hạ thế tại trụ TBA </v>
      </c>
    </row>
    <row r="68" spans="1:12" ht="43.2">
      <c r="A68">
        <f>ROW()</f>
        <v>68</v>
      </c>
      <c r="D68" s="44"/>
      <c r="I68" s="63" t="str">
        <f t="shared" si="30"/>
        <v xml:space="preserve">Cắt 3xFCO 
Tiếp địa trung thế tại trụ 
Tiếp địa hạ thế tại trụ TBA </v>
      </c>
      <c r="K68" s="61" t="str">
        <f t="shared" si="32"/>
        <v xml:space="preserve">Cắt 3xFCO 
Tiếp địa trung thế tại trụ 
Tiếp địa hạ thế tại trụ TBA </v>
      </c>
      <c r="L68" s="24" t="str">
        <f t="shared" si="33"/>
        <v xml:space="preserve">Cắt 3xFCO 
Tiếp địa trung thế tại trụ 
Tiếp địa hạ thế tại trụ TBA </v>
      </c>
    </row>
    <row r="69" spans="1:12" ht="43.2">
      <c r="A69">
        <f>ROW()</f>
        <v>69</v>
      </c>
      <c r="D69" s="44"/>
      <c r="I69" s="63" t="str">
        <f t="shared" si="30"/>
        <v xml:space="preserve">Cắt 3xFCO 
Tiếp địa trung thế tại trụ 
Tiếp địa hạ thế tại trụ TBA </v>
      </c>
      <c r="K69" s="61" t="str">
        <f t="shared" si="32"/>
        <v xml:space="preserve">Cắt 3xFCO 
Tiếp địa trung thế tại trụ 
Tiếp địa hạ thế tại trụ TBA </v>
      </c>
      <c r="L69" s="24" t="str">
        <f t="shared" si="33"/>
        <v xml:space="preserve">Cắt 3xFCO 
Tiếp địa trung thế tại trụ 
Tiếp địa hạ thế tại trụ TBA </v>
      </c>
    </row>
    <row r="70" spans="1:12" ht="43.2">
      <c r="A70">
        <f>ROW()</f>
        <v>70</v>
      </c>
      <c r="D70" s="44"/>
      <c r="I70" s="63" t="str">
        <f t="shared" si="30"/>
        <v xml:space="preserve">Cắt 3xFCO 
Tiếp địa trung thế tại trụ 
Tiếp địa hạ thế tại trụ TBA </v>
      </c>
      <c r="K70" s="61" t="str">
        <f t="shared" si="32"/>
        <v xml:space="preserve">Cắt 3xFCO 
Tiếp địa trung thế tại trụ 
Tiếp địa hạ thế tại trụ TBA </v>
      </c>
      <c r="L70" s="24" t="str">
        <f t="shared" si="33"/>
        <v xml:space="preserve">Cắt 3xFCO 
Tiếp địa trung thế tại trụ 
Tiếp địa hạ thế tại trụ TBA </v>
      </c>
    </row>
    <row r="71" spans="1:12" ht="43.2">
      <c r="A71">
        <f>ROW()</f>
        <v>71</v>
      </c>
      <c r="D71" s="44"/>
      <c r="I71" s="63" t="str">
        <f t="shared" si="30"/>
        <v xml:space="preserve">Cắt 3xFCO 
Tiếp địa trung thế tại trụ 
Tiếp địa hạ thế tại trụ TBA </v>
      </c>
      <c r="K71" s="61" t="str">
        <f t="shared" si="32"/>
        <v xml:space="preserve">Cắt 3xFCO 
Tiếp địa trung thế tại trụ 
Tiếp địa hạ thế tại trụ TBA </v>
      </c>
      <c r="L71" s="24" t="str">
        <f t="shared" si="33"/>
        <v xml:space="preserve">Cắt 3xFCO 
Tiếp địa trung thế tại trụ 
Tiếp địa hạ thế tại trụ TBA </v>
      </c>
    </row>
    <row r="72" spans="1:12" ht="43.2">
      <c r="A72">
        <f>ROW()</f>
        <v>72</v>
      </c>
      <c r="D72" s="44"/>
      <c r="I72" s="63" t="str">
        <f t="shared" si="30"/>
        <v xml:space="preserve">Cắt 3xFCO 
Tiếp địa trung thế tại trụ 
Tiếp địa hạ thế tại trụ TBA </v>
      </c>
      <c r="K72" s="61" t="str">
        <f t="shared" si="32"/>
        <v xml:space="preserve">Cắt 3xFCO 
Tiếp địa trung thế tại trụ 
Tiếp địa hạ thế tại trụ TBA </v>
      </c>
      <c r="L72" s="24" t="str">
        <f t="shared" si="33"/>
        <v xml:space="preserve">Cắt 3xFCO 
Tiếp địa trung thế tại trụ 
Tiếp địa hạ thế tại trụ TBA </v>
      </c>
    </row>
    <row r="73" spans="1:12" ht="43.2">
      <c r="A73">
        <f>ROW()</f>
        <v>73</v>
      </c>
      <c r="D73" s="44"/>
      <c r="I73" s="63" t="str">
        <f t="shared" si="30"/>
        <v xml:space="preserve">Cắt 3xFCO 
Tiếp địa trung thế tại trụ 
Tiếp địa hạ thế tại trụ TBA </v>
      </c>
      <c r="K73" s="61" t="str">
        <f t="shared" si="32"/>
        <v xml:space="preserve">Cắt 3xFCO 
Tiếp địa trung thế tại trụ 
Tiếp địa hạ thế tại trụ TBA </v>
      </c>
      <c r="L73" s="24" t="str">
        <f t="shared" si="33"/>
        <v xml:space="preserve">Cắt 3xFCO 
Tiếp địa trung thế tại trụ 
Tiếp địa hạ thế tại trụ TBA </v>
      </c>
    </row>
    <row r="74" spans="1:12" ht="43.2">
      <c r="A74">
        <f>ROW()</f>
        <v>74</v>
      </c>
      <c r="D74" s="44"/>
      <c r="I74" s="63" t="str">
        <f t="shared" si="30"/>
        <v xml:space="preserve">Cắt 3xFCO 
Tiếp địa trung thế tại trụ 
Tiếp địa hạ thế tại trụ TBA </v>
      </c>
      <c r="K74" s="61" t="str">
        <f t="shared" si="32"/>
        <v xml:space="preserve">Cắt 3xFCO 
Tiếp địa trung thế tại trụ 
Tiếp địa hạ thế tại trụ TBA </v>
      </c>
      <c r="L74" s="24" t="str">
        <f t="shared" si="33"/>
        <v xml:space="preserve">Cắt 3xFCO 
Tiếp địa trung thế tại trụ 
Tiếp địa hạ thế tại trụ TBA </v>
      </c>
    </row>
    <row r="75" spans="1:12" ht="43.2">
      <c r="A75">
        <f>ROW()</f>
        <v>75</v>
      </c>
      <c r="D75" s="44"/>
      <c r="I75" s="63" t="str">
        <f t="shared" si="30"/>
        <v xml:space="preserve">Cắt 3xFCO 
Tiếp địa trung thế tại trụ 
Tiếp địa hạ thế tại trụ TBA </v>
      </c>
      <c r="K75" s="61" t="str">
        <f t="shared" si="32"/>
        <v xml:space="preserve">Cắt 3xFCO 
Tiếp địa trung thế tại trụ 
Tiếp địa hạ thế tại trụ TBA </v>
      </c>
      <c r="L75" s="24" t="str">
        <f t="shared" si="33"/>
        <v xml:space="preserve">Cắt 3xFCO 
Tiếp địa trung thế tại trụ 
Tiếp địa hạ thế tại trụ TBA </v>
      </c>
    </row>
    <row r="76" spans="1:12" ht="43.2">
      <c r="A76">
        <f>ROW()</f>
        <v>76</v>
      </c>
      <c r="D76" s="44"/>
      <c r="I76" s="63" t="str">
        <f t="shared" si="30"/>
        <v xml:space="preserve">Cắt 3xFCO 
Tiếp địa trung thế tại trụ 
Tiếp địa hạ thế tại trụ TBA </v>
      </c>
      <c r="K76" s="61" t="str">
        <f t="shared" si="32"/>
        <v xml:space="preserve">Cắt 3xFCO 
Tiếp địa trung thế tại trụ 
Tiếp địa hạ thế tại trụ TBA </v>
      </c>
      <c r="L76" s="24" t="str">
        <f t="shared" si="33"/>
        <v xml:space="preserve">Cắt 3xFCO 
Tiếp địa trung thế tại trụ 
Tiếp địa hạ thế tại trụ TBA </v>
      </c>
    </row>
    <row r="77" spans="1:12" ht="43.2">
      <c r="A77">
        <f>ROW()</f>
        <v>77</v>
      </c>
      <c r="D77" s="44"/>
      <c r="I77" s="63" t="str">
        <f t="shared" si="30"/>
        <v xml:space="preserve">Cắt 3xFCO 
Tiếp địa trung thế tại trụ 
Tiếp địa hạ thế tại trụ TBA </v>
      </c>
      <c r="K77" s="61" t="str">
        <f t="shared" si="32"/>
        <v xml:space="preserve">Cắt 3xFCO 
Tiếp địa trung thế tại trụ 
Tiếp địa hạ thế tại trụ TBA </v>
      </c>
      <c r="L77" s="24" t="str">
        <f t="shared" si="33"/>
        <v xml:space="preserve">Cắt 3xFCO 
Tiếp địa trung thế tại trụ 
Tiếp địa hạ thế tại trụ TBA </v>
      </c>
    </row>
    <row r="78" spans="1:12" ht="43.2">
      <c r="A78">
        <f>ROW()</f>
        <v>78</v>
      </c>
      <c r="D78" s="44"/>
      <c r="I78" s="63" t="str">
        <f t="shared" si="30"/>
        <v xml:space="preserve">Cắt 3xFCO 
Tiếp địa trung thế tại trụ 
Tiếp địa hạ thế tại trụ TBA </v>
      </c>
      <c r="K78" s="61" t="str">
        <f t="shared" si="32"/>
        <v xml:space="preserve">Cắt 3xFCO 
Tiếp địa trung thế tại trụ 
Tiếp địa hạ thế tại trụ TBA </v>
      </c>
      <c r="L78" s="24" t="str">
        <f t="shared" si="33"/>
        <v xml:space="preserve">Cắt 3xFCO 
Tiếp địa trung thế tại trụ 
Tiếp địa hạ thế tại trụ TBA </v>
      </c>
    </row>
    <row r="79" spans="1:12" ht="43.2">
      <c r="A79">
        <f>ROW()</f>
        <v>79</v>
      </c>
      <c r="D79" s="44"/>
      <c r="I79" s="63" t="str">
        <f t="shared" si="30"/>
        <v xml:space="preserve">Cắt 3xFCO 
Tiếp địa trung thế tại trụ 
Tiếp địa hạ thế tại trụ TBA </v>
      </c>
      <c r="K79" s="61" t="str">
        <f t="shared" si="32"/>
        <v xml:space="preserve">Cắt 3xFCO 
Tiếp địa trung thế tại trụ 
Tiếp địa hạ thế tại trụ TBA </v>
      </c>
      <c r="L79" s="24" t="str">
        <f t="shared" si="33"/>
        <v xml:space="preserve">Cắt 3xFCO 
Tiếp địa trung thế tại trụ 
Tiếp địa hạ thế tại trụ TBA </v>
      </c>
    </row>
    <row r="80" spans="1:12" ht="43.2">
      <c r="A80">
        <f>ROW()</f>
        <v>80</v>
      </c>
      <c r="D80" s="44"/>
      <c r="I80" s="63" t="str">
        <f t="shared" si="30"/>
        <v xml:space="preserve">Cắt 3xFCO 
Tiếp địa trung thế tại trụ 
Tiếp địa hạ thế tại trụ TBA </v>
      </c>
      <c r="K80" s="61" t="str">
        <f t="shared" si="32"/>
        <v xml:space="preserve">Cắt 3xFCO 
Tiếp địa trung thế tại trụ 
Tiếp địa hạ thế tại trụ TBA </v>
      </c>
      <c r="L80" s="24" t="str">
        <f t="shared" si="33"/>
        <v xml:space="preserve">Cắt 3xFCO 
Tiếp địa trung thế tại trụ 
Tiếp địa hạ thế tại trụ TBA </v>
      </c>
    </row>
    <row r="81" spans="1:12" ht="43.2">
      <c r="A81">
        <f>ROW()</f>
        <v>81</v>
      </c>
      <c r="D81" s="44"/>
      <c r="I81" s="63" t="str">
        <f t="shared" si="30"/>
        <v xml:space="preserve">Cắt 3xFCO 
Tiếp địa trung thế tại trụ 
Tiếp địa hạ thế tại trụ TBA </v>
      </c>
      <c r="K81" s="61" t="str">
        <f t="shared" si="32"/>
        <v xml:space="preserve">Cắt 3xFCO 
Tiếp địa trung thế tại trụ 
Tiếp địa hạ thế tại trụ TBA </v>
      </c>
      <c r="L81" s="24" t="str">
        <f t="shared" si="33"/>
        <v xml:space="preserve">Cắt 3xFCO 
Tiếp địa trung thế tại trụ 
Tiếp địa hạ thế tại trụ TBA </v>
      </c>
    </row>
    <row r="82" spans="1:12" ht="43.2">
      <c r="A82">
        <f>ROW()</f>
        <v>82</v>
      </c>
      <c r="D82" s="44"/>
      <c r="I82" s="63" t="str">
        <f t="shared" si="30"/>
        <v xml:space="preserve">Cắt 3xFCO 
Tiếp địa trung thế tại trụ 
Tiếp địa hạ thế tại trụ TBA </v>
      </c>
      <c r="K82" s="61" t="str">
        <f t="shared" si="32"/>
        <v xml:space="preserve">Cắt 3xFCO 
Tiếp địa trung thế tại trụ 
Tiếp địa hạ thế tại trụ TBA </v>
      </c>
      <c r="L82" s="24" t="str">
        <f t="shared" si="33"/>
        <v xml:space="preserve">Cắt 3xFCO 
Tiếp địa trung thế tại trụ 
Tiếp địa hạ thế tại trụ TBA </v>
      </c>
    </row>
    <row r="83" spans="1:12" ht="43.2">
      <c r="A83">
        <f>ROW()</f>
        <v>83</v>
      </c>
      <c r="D83" s="44"/>
      <c r="I83" s="63" t="str">
        <f t="shared" si="30"/>
        <v xml:space="preserve">Cắt 3xFCO 
Tiếp địa trung thế tại trụ 
Tiếp địa hạ thế tại trụ TBA </v>
      </c>
      <c r="K83" s="61" t="str">
        <f t="shared" si="32"/>
        <v xml:space="preserve">Cắt 3xFCO 
Tiếp địa trung thế tại trụ 
Tiếp địa hạ thế tại trụ TBA </v>
      </c>
      <c r="L83" s="24" t="str">
        <f t="shared" si="33"/>
        <v xml:space="preserve">Cắt 3xFCO 
Tiếp địa trung thế tại trụ 
Tiếp địa hạ thế tại trụ TBA </v>
      </c>
    </row>
    <row r="84" spans="1:12" ht="43.2">
      <c r="A84">
        <f>ROW()</f>
        <v>84</v>
      </c>
      <c r="D84" s="44"/>
      <c r="I84" s="63" t="str">
        <f t="shared" si="30"/>
        <v xml:space="preserve">Cắt 3xFCO 
Tiếp địa trung thế tại trụ 
Tiếp địa hạ thế tại trụ TBA </v>
      </c>
      <c r="K84" s="61" t="str">
        <f t="shared" si="32"/>
        <v xml:space="preserve">Cắt 3xFCO 
Tiếp địa trung thế tại trụ 
Tiếp địa hạ thế tại trụ TBA </v>
      </c>
      <c r="L84" s="24" t="str">
        <f t="shared" si="33"/>
        <v xml:space="preserve">Cắt 3xFCO 
Tiếp địa trung thế tại trụ 
Tiếp địa hạ thế tại trụ TBA </v>
      </c>
    </row>
    <row r="85" spans="1:12" ht="43.2">
      <c r="A85">
        <f>ROW()</f>
        <v>85</v>
      </c>
      <c r="D85" s="44"/>
      <c r="I85" s="63" t="str">
        <f t="shared" si="30"/>
        <v xml:space="preserve">Cắt 3xFCO 
Tiếp địa trung thế tại trụ 
Tiếp địa hạ thế tại trụ TBA </v>
      </c>
      <c r="K85" s="61" t="str">
        <f t="shared" si="32"/>
        <v xml:space="preserve">Cắt 3xFCO 
Tiếp địa trung thế tại trụ 
Tiếp địa hạ thế tại trụ TBA </v>
      </c>
      <c r="L85" s="24" t="str">
        <f t="shared" si="33"/>
        <v xml:space="preserve">Cắt 3xFCO 
Tiếp địa trung thế tại trụ 
Tiếp địa hạ thế tại trụ TBA </v>
      </c>
    </row>
    <row r="86" spans="1:12" ht="43.2">
      <c r="A86">
        <f>ROW()</f>
        <v>86</v>
      </c>
      <c r="D86" s="44"/>
      <c r="I86" s="63" t="str">
        <f t="shared" si="30"/>
        <v xml:space="preserve">Cắt 3xFCO 
Tiếp địa trung thế tại trụ 
Tiếp địa hạ thế tại trụ TBA </v>
      </c>
      <c r="K86" s="61" t="str">
        <f t="shared" si="32"/>
        <v xml:space="preserve">Cắt 3xFCO 
Tiếp địa trung thế tại trụ 
Tiếp địa hạ thế tại trụ TBA </v>
      </c>
      <c r="L86" s="24" t="str">
        <f t="shared" si="33"/>
        <v xml:space="preserve">Cắt 3xFCO 
Tiếp địa trung thế tại trụ 
Tiếp địa hạ thế tại trụ TBA </v>
      </c>
    </row>
    <row r="87" spans="1:12" ht="43.2">
      <c r="A87">
        <f>ROW()</f>
        <v>87</v>
      </c>
      <c r="D87" s="44"/>
      <c r="I87" s="63" t="str">
        <f t="shared" si="30"/>
        <v xml:space="preserve">Cắt 3xFCO 
Tiếp địa trung thế tại trụ 
Tiếp địa hạ thế tại trụ TBA </v>
      </c>
      <c r="K87" s="61" t="str">
        <f t="shared" si="32"/>
        <v xml:space="preserve">Cắt 3xFCO 
Tiếp địa trung thế tại trụ 
Tiếp địa hạ thế tại trụ TBA </v>
      </c>
      <c r="L87" s="24" t="str">
        <f t="shared" si="33"/>
        <v xml:space="preserve">Cắt 3xFCO 
Tiếp địa trung thế tại trụ 
Tiếp địa hạ thế tại trụ TBA </v>
      </c>
    </row>
    <row r="88" spans="1:12" ht="43.2">
      <c r="A88">
        <f>ROW()</f>
        <v>88</v>
      </c>
      <c r="D88" s="44"/>
      <c r="I88" s="63" t="str">
        <f t="shared" si="30"/>
        <v xml:space="preserve">Cắt 3xFCO 
Tiếp địa trung thế tại trụ 
Tiếp địa hạ thế tại trụ TBA </v>
      </c>
      <c r="K88" s="61" t="str">
        <f t="shared" si="32"/>
        <v xml:space="preserve">Cắt 3xFCO 
Tiếp địa trung thế tại trụ 
Tiếp địa hạ thế tại trụ TBA </v>
      </c>
      <c r="L88" s="24" t="str">
        <f t="shared" si="33"/>
        <v xml:space="preserve">Cắt 3xFCO 
Tiếp địa trung thế tại trụ 
Tiếp địa hạ thế tại trụ TBA </v>
      </c>
    </row>
    <row r="89" spans="1:12" ht="43.2">
      <c r="A89">
        <f>ROW()</f>
        <v>89</v>
      </c>
      <c r="D89" s="44"/>
      <c r="I89" s="63" t="str">
        <f t="shared" si="30"/>
        <v xml:space="preserve">Cắt 3xFCO 
Tiếp địa trung thế tại trụ 
Tiếp địa hạ thế tại trụ TBA </v>
      </c>
      <c r="K89" s="61" t="str">
        <f t="shared" si="32"/>
        <v xml:space="preserve">Cắt 3xFCO 
Tiếp địa trung thế tại trụ 
Tiếp địa hạ thế tại trụ TBA </v>
      </c>
      <c r="L89" s="24" t="str">
        <f t="shared" si="33"/>
        <v xml:space="preserve">Cắt 3xFCO 
Tiếp địa trung thế tại trụ 
Tiếp địa hạ thế tại trụ TBA </v>
      </c>
    </row>
    <row r="90" spans="1:12" ht="43.2">
      <c r="A90">
        <f>ROW()</f>
        <v>90</v>
      </c>
      <c r="D90" s="44"/>
      <c r="I90" s="63" t="str">
        <f t="shared" si="30"/>
        <v xml:space="preserve">Cắt 3xFCO 
Tiếp địa trung thế tại trụ 
Tiếp địa hạ thế tại trụ TBA </v>
      </c>
      <c r="K90" s="61" t="str">
        <f t="shared" si="32"/>
        <v xml:space="preserve">Cắt 3xFCO 
Tiếp địa trung thế tại trụ 
Tiếp địa hạ thế tại trụ TBA </v>
      </c>
      <c r="L90" s="24" t="str">
        <f t="shared" si="33"/>
        <v xml:space="preserve">Cắt 3xFCO 
Tiếp địa trung thế tại trụ 
Tiếp địa hạ thế tại trụ TBA </v>
      </c>
    </row>
    <row r="91" spans="1:12" ht="43.2">
      <c r="A91">
        <f>ROW()</f>
        <v>91</v>
      </c>
      <c r="D91" s="44"/>
      <c r="I91" s="63" t="str">
        <f t="shared" si="30"/>
        <v xml:space="preserve">Cắt 3xFCO 
Tiếp địa trung thế tại trụ 
Tiếp địa hạ thế tại trụ TBA </v>
      </c>
      <c r="K91" s="61" t="str">
        <f t="shared" si="32"/>
        <v xml:space="preserve">Cắt 3xFCO 
Tiếp địa trung thế tại trụ 
Tiếp địa hạ thế tại trụ TBA </v>
      </c>
      <c r="L91" s="24" t="str">
        <f t="shared" si="33"/>
        <v xml:space="preserve">Cắt 3xFCO 
Tiếp địa trung thế tại trụ 
Tiếp địa hạ thế tại trụ TBA </v>
      </c>
    </row>
    <row r="92" spans="1:12" ht="43.2">
      <c r="A92">
        <f>ROW()</f>
        <v>92</v>
      </c>
      <c r="D92" s="44"/>
      <c r="I92" s="63" t="str">
        <f t="shared" si="30"/>
        <v xml:space="preserve">Cắt 3xFCO 
Tiếp địa trung thế tại trụ 
Tiếp địa hạ thế tại trụ TBA </v>
      </c>
      <c r="K92" s="61" t="str">
        <f t="shared" si="32"/>
        <v xml:space="preserve">Cắt 3xFCO 
Tiếp địa trung thế tại trụ 
Tiếp địa hạ thế tại trụ TBA </v>
      </c>
      <c r="L92" s="24" t="str">
        <f t="shared" si="33"/>
        <v xml:space="preserve">Cắt 3xFCO 
Tiếp địa trung thế tại trụ 
Tiếp địa hạ thế tại trụ TBA </v>
      </c>
    </row>
    <row r="93" spans="1:12" ht="43.2">
      <c r="A93">
        <f>ROW()</f>
        <v>93</v>
      </c>
      <c r="D93" s="44"/>
      <c r="I93" s="63" t="str">
        <f t="shared" si="30"/>
        <v xml:space="preserve">Cắt 3xFCO 
Tiếp địa trung thế tại trụ 
Tiếp địa hạ thế tại trụ TBA </v>
      </c>
      <c r="K93" s="61" t="str">
        <f t="shared" si="32"/>
        <v xml:space="preserve">Cắt 3xFCO 
Tiếp địa trung thế tại trụ 
Tiếp địa hạ thế tại trụ TBA </v>
      </c>
      <c r="L93" s="24" t="str">
        <f t="shared" si="33"/>
        <v xml:space="preserve">Cắt 3xFCO 
Tiếp địa trung thế tại trụ 
Tiếp địa hạ thế tại trụ TBA </v>
      </c>
    </row>
    <row r="94" spans="1:12" ht="43.2">
      <c r="A94">
        <f>ROW()</f>
        <v>94</v>
      </c>
      <c r="D94" s="44"/>
      <c r="I94" s="63" t="str">
        <f t="shared" si="30"/>
        <v xml:space="preserve">Cắt 3xFCO 
Tiếp địa trung thế tại trụ 
Tiếp địa hạ thế tại trụ TBA </v>
      </c>
      <c r="K94" s="61" t="str">
        <f t="shared" si="32"/>
        <v xml:space="preserve">Cắt 3xFCO 
Tiếp địa trung thế tại trụ 
Tiếp địa hạ thế tại trụ TBA </v>
      </c>
      <c r="L94" s="24" t="str">
        <f t="shared" si="33"/>
        <v xml:space="preserve">Cắt 3xFCO 
Tiếp địa trung thế tại trụ 
Tiếp địa hạ thế tại trụ TBA </v>
      </c>
    </row>
    <row r="95" spans="1:12" ht="43.2">
      <c r="A95">
        <f>ROW()</f>
        <v>95</v>
      </c>
      <c r="D95" s="44"/>
      <c r="I95" s="63" t="str">
        <f t="shared" si="30"/>
        <v xml:space="preserve">Cắt 3xFCO 
Tiếp địa trung thế tại trụ 
Tiếp địa hạ thế tại trụ TBA </v>
      </c>
      <c r="K95" s="61" t="str">
        <f t="shared" si="32"/>
        <v xml:space="preserve">Cắt 3xFCO 
Tiếp địa trung thế tại trụ 
Tiếp địa hạ thế tại trụ TBA </v>
      </c>
      <c r="L95" s="24" t="str">
        <f t="shared" si="33"/>
        <v xml:space="preserve">Cắt 3xFCO 
Tiếp địa trung thế tại trụ 
Tiếp địa hạ thế tại trụ TBA </v>
      </c>
    </row>
    <row r="96" spans="1:12" ht="43.2">
      <c r="A96">
        <f>ROW()</f>
        <v>96</v>
      </c>
      <c r="D96" s="44"/>
      <c r="I96" s="63" t="str">
        <f t="shared" si="30"/>
        <v xml:space="preserve">Cắt 3xFCO 
Tiếp địa trung thế tại trụ 
Tiếp địa hạ thế tại trụ TBA </v>
      </c>
      <c r="K96" s="61" t="str">
        <f t="shared" si="32"/>
        <v xml:space="preserve">Cắt 3xFCO 
Tiếp địa trung thế tại trụ 
Tiếp địa hạ thế tại trụ TBA </v>
      </c>
      <c r="L96" s="24" t="str">
        <f t="shared" si="33"/>
        <v xml:space="preserve">Cắt 3xFCO 
Tiếp địa trung thế tại trụ 
Tiếp địa hạ thế tại trụ TBA </v>
      </c>
    </row>
    <row r="97" spans="1:12" ht="43.2">
      <c r="A97">
        <f>ROW()</f>
        <v>97</v>
      </c>
      <c r="D97" s="44"/>
      <c r="I97" s="63" t="str">
        <f t="shared" si="30"/>
        <v xml:space="preserve">Cắt 3xFCO 
Tiếp địa trung thế tại trụ 
Tiếp địa hạ thế tại trụ TBA </v>
      </c>
      <c r="K97" s="61" t="str">
        <f t="shared" si="32"/>
        <v xml:space="preserve">Cắt 3xFCO 
Tiếp địa trung thế tại trụ 
Tiếp địa hạ thế tại trụ TBA </v>
      </c>
      <c r="L97" s="24" t="str">
        <f t="shared" si="33"/>
        <v xml:space="preserve">Cắt 3xFCO 
Tiếp địa trung thế tại trụ 
Tiếp địa hạ thế tại trụ TBA </v>
      </c>
    </row>
    <row r="98" spans="1:12" ht="43.2">
      <c r="A98">
        <f>ROW()</f>
        <v>98</v>
      </c>
      <c r="D98" s="44"/>
      <c r="I98" s="63" t="str">
        <f t="shared" si="30"/>
        <v xml:space="preserve">Cắt 3xFCO 
Tiếp địa trung thế tại trụ 
Tiếp địa hạ thế tại trụ TBA </v>
      </c>
      <c r="K98" s="61" t="str">
        <f t="shared" si="32"/>
        <v xml:space="preserve">Cắt 3xFCO 
Tiếp địa trung thế tại trụ 
Tiếp địa hạ thế tại trụ TBA </v>
      </c>
      <c r="L98" s="24" t="str">
        <f t="shared" si="33"/>
        <v xml:space="preserve">Cắt 3xFCO 
Tiếp địa trung thế tại trụ 
Tiếp địa hạ thế tại trụ TBA </v>
      </c>
    </row>
    <row r="99" spans="1:12" ht="43.2">
      <c r="A99">
        <f>ROW()</f>
        <v>99</v>
      </c>
      <c r="D99" s="44"/>
      <c r="I99" s="63" t="str">
        <f t="shared" si="30"/>
        <v xml:space="preserve">Cắt 3xFCO 
Tiếp địa trung thế tại trụ 
Tiếp địa hạ thế tại trụ TBA </v>
      </c>
      <c r="K99" s="61" t="str">
        <f t="shared" si="32"/>
        <v xml:space="preserve">Cắt 3xFCO 
Tiếp địa trung thế tại trụ 
Tiếp địa hạ thế tại trụ TBA </v>
      </c>
      <c r="L99" s="24" t="str">
        <f t="shared" si="33"/>
        <v xml:space="preserve">Cắt 3xFCO 
Tiếp địa trung thế tại trụ 
Tiếp địa hạ thế tại trụ TBA </v>
      </c>
    </row>
    <row r="100" spans="1:12" ht="43.2">
      <c r="A100">
        <f>ROW()</f>
        <v>100</v>
      </c>
      <c r="D100" s="44"/>
      <c r="I100" s="63" t="str">
        <f t="shared" si="30"/>
        <v xml:space="preserve">Cắt 3xFCO 
Tiếp địa trung thế tại trụ 
Tiếp địa hạ thế tại trụ TBA </v>
      </c>
      <c r="K100" s="61" t="str">
        <f t="shared" si="32"/>
        <v xml:space="preserve">Cắt 3xFCO 
Tiếp địa trung thế tại trụ 
Tiếp địa hạ thế tại trụ TBA </v>
      </c>
      <c r="L100" s="24" t="str">
        <f t="shared" si="33"/>
        <v xml:space="preserve">Cắt 3xFCO 
Tiếp địa trung thế tại trụ 
Tiếp địa hạ thế tại trụ TBA </v>
      </c>
    </row>
    <row r="101" spans="1:12" ht="43.2">
      <c r="A101">
        <f>ROW()</f>
        <v>101</v>
      </c>
      <c r="D101" s="44"/>
      <c r="I101" s="63" t="str">
        <f t="shared" si="30"/>
        <v xml:space="preserve">Cắt 3xFCO 
Tiếp địa trung thế tại trụ 
Tiếp địa hạ thế tại trụ TBA </v>
      </c>
      <c r="K101" s="61" t="str">
        <f t="shared" si="32"/>
        <v xml:space="preserve">Cắt 3xFCO 
Tiếp địa trung thế tại trụ 
Tiếp địa hạ thế tại trụ TBA </v>
      </c>
      <c r="L101" s="24" t="str">
        <f t="shared" si="33"/>
        <v xml:space="preserve">Cắt 3xFCO 
Tiếp địa trung thế tại trụ 
Tiếp địa hạ thế tại trụ TBA </v>
      </c>
    </row>
    <row r="102" spans="1:12" ht="43.2">
      <c r="A102">
        <f>ROW()</f>
        <v>102</v>
      </c>
      <c r="D102" s="44"/>
      <c r="I102" s="63" t="str">
        <f t="shared" si="30"/>
        <v xml:space="preserve">Cắt 3xFCO 
Tiếp địa trung thế tại trụ 
Tiếp địa hạ thế tại trụ TBA </v>
      </c>
      <c r="K102" s="61" t="str">
        <f t="shared" si="32"/>
        <v xml:space="preserve">Cắt 3xFCO 
Tiếp địa trung thế tại trụ 
Tiếp địa hạ thế tại trụ TBA </v>
      </c>
      <c r="L102" s="24" t="str">
        <f t="shared" si="33"/>
        <v xml:space="preserve">Cắt 3xFCO 
Tiếp địa trung thế tại trụ 
Tiếp địa hạ thế tại trụ TBA </v>
      </c>
    </row>
    <row r="103" spans="1:12" ht="43.2">
      <c r="A103">
        <f>ROW()</f>
        <v>103</v>
      </c>
      <c r="D103" s="44"/>
      <c r="I103" s="63" t="str">
        <f t="shared" si="30"/>
        <v xml:space="preserve">Cắt 3xFCO 
Tiếp địa trung thế tại trụ 
Tiếp địa hạ thế tại trụ TBA </v>
      </c>
      <c r="K103" s="61" t="str">
        <f t="shared" si="32"/>
        <v xml:space="preserve">Cắt 3xFCO 
Tiếp địa trung thế tại trụ 
Tiếp địa hạ thế tại trụ TBA </v>
      </c>
      <c r="L103" s="24" t="str">
        <f t="shared" si="33"/>
        <v xml:space="preserve">Cắt 3xFCO 
Tiếp địa trung thế tại trụ 
Tiếp địa hạ thế tại trụ TBA </v>
      </c>
    </row>
    <row r="104" spans="1:12" ht="43.2">
      <c r="A104">
        <f>ROW()</f>
        <v>104</v>
      </c>
      <c r="D104" s="44"/>
      <c r="I104" s="63" t="str">
        <f t="shared" si="30"/>
        <v xml:space="preserve">Cắt 3xFCO 
Tiếp địa trung thế tại trụ 
Tiếp địa hạ thế tại trụ TBA </v>
      </c>
      <c r="K104" s="61" t="str">
        <f t="shared" si="32"/>
        <v xml:space="preserve">Cắt 3xFCO 
Tiếp địa trung thế tại trụ 
Tiếp địa hạ thế tại trụ TBA </v>
      </c>
      <c r="L104" s="24" t="str">
        <f t="shared" si="33"/>
        <v xml:space="preserve">Cắt 3xFCO 
Tiếp địa trung thế tại trụ 
Tiếp địa hạ thế tại trụ TBA </v>
      </c>
    </row>
    <row r="105" spans="1:12" ht="43.2">
      <c r="A105">
        <f>ROW()</f>
        <v>105</v>
      </c>
      <c r="D105" s="44"/>
      <c r="I105" s="63" t="str">
        <f t="shared" si="30"/>
        <v xml:space="preserve">Cắt 3xFCO 
Tiếp địa trung thế tại trụ 
Tiếp địa hạ thế tại trụ TBA </v>
      </c>
      <c r="K105" s="61" t="str">
        <f t="shared" si="32"/>
        <v xml:space="preserve">Cắt 3xFCO 
Tiếp địa trung thế tại trụ 
Tiếp địa hạ thế tại trụ TBA </v>
      </c>
      <c r="L105" s="24" t="str">
        <f t="shared" si="33"/>
        <v xml:space="preserve">Cắt 3xFCO 
Tiếp địa trung thế tại trụ 
Tiếp địa hạ thế tại trụ TBA </v>
      </c>
    </row>
    <row r="106" spans="1:12" ht="43.2">
      <c r="A106">
        <f>ROW()</f>
        <v>106</v>
      </c>
      <c r="D106" s="44"/>
      <c r="I106" s="63" t="str">
        <f t="shared" si="30"/>
        <v xml:space="preserve">Cắt 3xFCO 
Tiếp địa trung thế tại trụ 
Tiếp địa hạ thế tại trụ TBA </v>
      </c>
      <c r="K106" s="61" t="str">
        <f t="shared" si="32"/>
        <v xml:space="preserve">Cắt 3xFCO 
Tiếp địa trung thế tại trụ 
Tiếp địa hạ thế tại trụ TBA </v>
      </c>
      <c r="L106" s="24" t="str">
        <f t="shared" si="33"/>
        <v xml:space="preserve">Cắt 3xFCO 
Tiếp địa trung thế tại trụ 
Tiếp địa hạ thế tại trụ TBA </v>
      </c>
    </row>
    <row r="107" spans="1:12" ht="43.2">
      <c r="A107">
        <f>ROW()</f>
        <v>107</v>
      </c>
      <c r="D107" s="44"/>
      <c r="I107" s="63" t="str">
        <f t="shared" si="30"/>
        <v xml:space="preserve">Cắt 3xFCO 
Tiếp địa trung thế tại trụ 
Tiếp địa hạ thế tại trụ TBA </v>
      </c>
      <c r="K107" s="61" t="str">
        <f t="shared" si="32"/>
        <v xml:space="preserve">Cắt 3xFCO 
Tiếp địa trung thế tại trụ 
Tiếp địa hạ thế tại trụ TBA </v>
      </c>
      <c r="L107" s="24" t="str">
        <f t="shared" si="33"/>
        <v xml:space="preserve">Cắt 3xFCO 
Tiếp địa trung thế tại trụ 
Tiếp địa hạ thế tại trụ TBA </v>
      </c>
    </row>
    <row r="108" spans="1:12" ht="43.2">
      <c r="A108">
        <f>ROW()</f>
        <v>108</v>
      </c>
      <c r="D108" s="44"/>
      <c r="I108" s="63" t="str">
        <f t="shared" si="30"/>
        <v xml:space="preserve">Cắt 3xFCO 
Tiếp địa trung thế tại trụ 
Tiếp địa hạ thế tại trụ TBA </v>
      </c>
      <c r="K108" s="61" t="str">
        <f t="shared" si="32"/>
        <v xml:space="preserve">Cắt 3xFCO 
Tiếp địa trung thế tại trụ 
Tiếp địa hạ thế tại trụ TBA </v>
      </c>
      <c r="L108" s="24" t="str">
        <f t="shared" si="33"/>
        <v xml:space="preserve">Cắt 3xFCO 
Tiếp địa trung thế tại trụ 
Tiếp địa hạ thế tại trụ TBA </v>
      </c>
    </row>
    <row r="109" spans="1:12" ht="43.2">
      <c r="A109">
        <f>ROW()</f>
        <v>109</v>
      </c>
      <c r="D109" s="44"/>
      <c r="I109" s="63" t="str">
        <f t="shared" si="30"/>
        <v xml:space="preserve">Cắt 3xFCO 
Tiếp địa trung thế tại trụ 
Tiếp địa hạ thế tại trụ TBA </v>
      </c>
      <c r="K109" s="61" t="str">
        <f t="shared" si="32"/>
        <v xml:space="preserve">Cắt 3xFCO 
Tiếp địa trung thế tại trụ 
Tiếp địa hạ thế tại trụ TBA </v>
      </c>
      <c r="L109" s="24" t="str">
        <f t="shared" si="33"/>
        <v xml:space="preserve">Cắt 3xFCO 
Tiếp địa trung thế tại trụ 
Tiếp địa hạ thế tại trụ TBA </v>
      </c>
    </row>
    <row r="110" spans="1:12" ht="43.2">
      <c r="A110">
        <f>ROW()</f>
        <v>110</v>
      </c>
      <c r="D110" s="44"/>
      <c r="I110" s="63" t="str">
        <f t="shared" si="30"/>
        <v xml:space="preserve">Cắt 3xFCO 
Tiếp địa trung thế tại trụ 
Tiếp địa hạ thế tại trụ TBA </v>
      </c>
      <c r="K110" s="61" t="str">
        <f t="shared" si="32"/>
        <v xml:space="preserve">Cắt 3xFCO 
Tiếp địa trung thế tại trụ 
Tiếp địa hạ thế tại trụ TBA </v>
      </c>
      <c r="L110" s="24" t="str">
        <f t="shared" si="33"/>
        <v xml:space="preserve">Cắt 3xFCO 
Tiếp địa trung thế tại trụ 
Tiếp địa hạ thế tại trụ TBA </v>
      </c>
    </row>
  </sheetData>
  <autoFilter ref="A1:Y110" xr:uid="{00000000-0009-0000-0000-000004000000}"/>
  <conditionalFormatting sqref="T1:U1 T25 T27:T34 T38 T19:T22">
    <cfRule type="cellIs" dxfId="20" priority="26" stopIfTrue="1" operator="equal">
      <formula>1</formula>
    </cfRule>
  </conditionalFormatting>
  <conditionalFormatting sqref="T23">
    <cfRule type="cellIs" dxfId="19" priority="25" stopIfTrue="1" operator="equal">
      <formula>1</formula>
    </cfRule>
  </conditionalFormatting>
  <conditionalFormatting sqref="T26">
    <cfRule type="cellIs" dxfId="18" priority="24" stopIfTrue="1" operator="equal">
      <formula>1</formula>
    </cfRule>
  </conditionalFormatting>
  <conditionalFormatting sqref="R42 R38 R1 R40 R19:R23 R25:R34 R54:R1048576">
    <cfRule type="duplicateValues" dxfId="17" priority="23"/>
  </conditionalFormatting>
  <conditionalFormatting sqref="T35">
    <cfRule type="cellIs" dxfId="16" priority="22" stopIfTrue="1" operator="equal">
      <formula>1</formula>
    </cfRule>
  </conditionalFormatting>
  <conditionalFormatting sqref="R35">
    <cfRule type="duplicateValues" dxfId="15" priority="21"/>
  </conditionalFormatting>
  <conditionalFormatting sqref="T36">
    <cfRule type="cellIs" dxfId="14" priority="20" stopIfTrue="1" operator="equal">
      <formula>1</formula>
    </cfRule>
  </conditionalFormatting>
  <conditionalFormatting sqref="R36">
    <cfRule type="duplicateValues" dxfId="13" priority="19"/>
  </conditionalFormatting>
  <conditionalFormatting sqref="T37">
    <cfRule type="cellIs" dxfId="12" priority="18" stopIfTrue="1" operator="equal">
      <formula>1</formula>
    </cfRule>
  </conditionalFormatting>
  <conditionalFormatting sqref="R37">
    <cfRule type="duplicateValues" dxfId="11" priority="17"/>
  </conditionalFormatting>
  <conditionalFormatting sqref="T39">
    <cfRule type="cellIs" dxfId="10" priority="12" stopIfTrue="1" operator="equal">
      <formula>1</formula>
    </cfRule>
  </conditionalFormatting>
  <conditionalFormatting sqref="R39">
    <cfRule type="duplicateValues" dxfId="9" priority="11"/>
  </conditionalFormatting>
  <conditionalFormatting sqref="T41">
    <cfRule type="cellIs" dxfId="8" priority="10" stopIfTrue="1" operator="equal">
      <formula>1</formula>
    </cfRule>
  </conditionalFormatting>
  <conditionalFormatting sqref="R41">
    <cfRule type="duplicateValues" dxfId="7" priority="9"/>
  </conditionalFormatting>
  <conditionalFormatting sqref="T24">
    <cfRule type="cellIs" dxfId="6" priority="8" stopIfTrue="1" operator="equal">
      <formula>1</formula>
    </cfRule>
  </conditionalFormatting>
  <conditionalFormatting sqref="R24">
    <cfRule type="duplicateValues" dxfId="5" priority="7"/>
  </conditionalFormatting>
  <conditionalFormatting sqref="R43">
    <cfRule type="duplicateValues" dxfId="4" priority="6"/>
  </conditionalFormatting>
  <conditionalFormatting sqref="R44">
    <cfRule type="duplicateValues" dxfId="3" priority="5"/>
  </conditionalFormatting>
  <conditionalFormatting sqref="R45">
    <cfRule type="duplicateValues" dxfId="2" priority="4"/>
  </conditionalFormatting>
  <conditionalFormatting sqref="R46">
    <cfRule type="duplicateValues" dxfId="1" priority="2"/>
  </conditionalFormatting>
  <conditionalFormatting sqref="R47:R53">
    <cfRule type="duplicateValues" dxfId="0"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pane ySplit="1" topLeftCell="A2" activePane="bottomLeft" state="frozen"/>
      <selection activeCell="C1" sqref="C1"/>
      <selection pane="bottomLeft" activeCell="B3" sqref="B3"/>
    </sheetView>
  </sheetViews>
  <sheetFormatPr defaultRowHeight="14.4"/>
  <cols>
    <col min="2" max="2" width="23.88671875" bestFit="1" customWidth="1"/>
    <col min="3" max="3" width="79.6640625" customWidth="1"/>
    <col min="4" max="4" width="75.109375" bestFit="1" customWidth="1"/>
    <col min="6" max="6" width="11.33203125" customWidth="1"/>
  </cols>
  <sheetData>
    <row r="1" spans="1:5" s="36" customFormat="1" ht="43.2">
      <c r="B1" s="36" t="s">
        <v>225</v>
      </c>
      <c r="C1" s="36" t="s">
        <v>2</v>
      </c>
      <c r="D1" s="36" t="s">
        <v>232</v>
      </c>
      <c r="E1" s="36" t="s">
        <v>233</v>
      </c>
    </row>
    <row r="2" spans="1:5" s="46" customFormat="1">
      <c r="B2" s="46" t="str">
        <f>HLOOKUP(B1,KhaoSatHienTruong!1:2,2,0)</f>
        <v>sda</v>
      </c>
      <c r="C2" s="46">
        <f>HLOOKUP(C1,KhaoSatHienTruong!1:2,2,0)</f>
        <v>6</v>
      </c>
      <c r="D2" s="46">
        <f>HLOOKUP(D1,KhaoSatHienTruong!1:2,2,0)</f>
        <v>7</v>
      </c>
      <c r="E2" s="46">
        <f>HLOOKUP(E1,KhaoSatHienTruong!1:2,2,0)</f>
        <v>15</v>
      </c>
    </row>
    <row r="3" spans="1:5">
      <c r="A3">
        <f>ROW()</f>
        <v>3</v>
      </c>
      <c r="B3" t="e">
        <f>" ngày "&amp;TEXT(VLOOKUP(ROW(),KSHT,'Merge-PATC'!B$2,0),"dd")&amp;" tháng "&amp;TEXT(VLOOKUP(ROW(),KSHT,'Merge-PATC'!B$2,0),"MM")&amp;" năm "&amp;TEXT(VLOOKUP(ROW(),KSHT,'Merge-PATC'!B$2,0),"yyyy")</f>
        <v>#N/A</v>
      </c>
      <c r="C3" t="e">
        <f>VLOOKUP(ROW(),KSHT,'Merge-PATC'!C$2,0)</f>
        <v>#N/A</v>
      </c>
      <c r="D3" t="e">
        <f>VLOOKUP(ROW(),KSHT,'Merge-PATC'!D$2,0)</f>
        <v>#N/A</v>
      </c>
      <c r="E3" t="e">
        <f>VLOOKUP(ROW(),KSHT,'Merge-PATC'!E$2,0)</f>
        <v>#N/A</v>
      </c>
    </row>
    <row r="4" spans="1:5">
      <c r="A4">
        <f>ROW()</f>
        <v>4</v>
      </c>
      <c r="B4" t="e">
        <f>" ngày "&amp;TEXT(VLOOKUP(ROW(),KSHT,'Merge-PATC'!B$2,0),"dd")&amp;" tháng "&amp;TEXT(VLOOKUP(ROW(),KSHT,'Merge-PATC'!B$2,0),"MM")&amp;" năm "&amp;TEXT(VLOOKUP(ROW(),KSHT,'Merge-PATC'!B$2,0),"yyyy")</f>
        <v>#N/A</v>
      </c>
      <c r="C4" t="e">
        <f>VLOOKUP(ROW(),KSHT,'Merge-PATC'!C$2,0)</f>
        <v>#N/A</v>
      </c>
      <c r="D4" t="e">
        <f>VLOOKUP(ROW(),KSHT,'Merge-PATC'!D$2,0)</f>
        <v>#N/A</v>
      </c>
      <c r="E4" t="e">
        <f>VLOOKUP(ROW(),KSHT,'Merge-PATC'!E$2,0)</f>
        <v>#N/A</v>
      </c>
    </row>
    <row r="5" spans="1:5">
      <c r="A5">
        <f>ROW()</f>
        <v>5</v>
      </c>
      <c r="B5" t="e">
        <f>" ngày "&amp;TEXT(VLOOKUP(ROW(),KSHT,'Merge-PATC'!B$2,0),"dd")&amp;" tháng "&amp;TEXT(VLOOKUP(ROW(),KSHT,'Merge-PATC'!B$2,0),"MM")&amp;" năm "&amp;TEXT(VLOOKUP(ROW(),KSHT,'Merge-PATC'!B$2,0),"yyyy")</f>
        <v>#N/A</v>
      </c>
      <c r="C5" t="e">
        <f>VLOOKUP(ROW(),KSHT,'Merge-PATC'!C$2,0)</f>
        <v>#N/A</v>
      </c>
      <c r="D5" t="e">
        <f>VLOOKUP(ROW(),KSHT,'Merge-PATC'!D$2,0)</f>
        <v>#N/A</v>
      </c>
      <c r="E5" t="e">
        <f>VLOOKUP(ROW(),KSHT,'Merge-PATC'!E$2,0)</f>
        <v>#N/A</v>
      </c>
    </row>
    <row r="6" spans="1:5">
      <c r="A6">
        <f>ROW()</f>
        <v>6</v>
      </c>
      <c r="B6" t="e">
        <f>" ngày "&amp;TEXT(VLOOKUP(ROW(),KSHT,'Merge-PATC'!B$2,0),"dd")&amp;" tháng "&amp;TEXT(VLOOKUP(ROW(),KSHT,'Merge-PATC'!B$2,0),"MM")&amp;" năm "&amp;TEXT(VLOOKUP(ROW(),KSHT,'Merge-PATC'!B$2,0),"yyyy")</f>
        <v>#N/A</v>
      </c>
      <c r="C6" t="e">
        <f>VLOOKUP(ROW(),KSHT,'Merge-PATC'!C$2,0)</f>
        <v>#N/A</v>
      </c>
      <c r="D6" t="e">
        <f>VLOOKUP(ROW(),KSHT,'Merge-PATC'!D$2,0)</f>
        <v>#N/A</v>
      </c>
      <c r="E6" t="e">
        <f>VLOOKUP(ROW(),KSHT,'Merge-PATC'!E$2,0)</f>
        <v>#N/A</v>
      </c>
    </row>
    <row r="7" spans="1:5">
      <c r="A7">
        <f>ROW()</f>
        <v>7</v>
      </c>
      <c r="B7" t="e">
        <f>" ngày "&amp;TEXT(VLOOKUP(ROW(),KSHT,'Merge-PATC'!B$2,0),"dd")&amp;" tháng "&amp;TEXT(VLOOKUP(ROW(),KSHT,'Merge-PATC'!B$2,0),"MM")&amp;" năm "&amp;TEXT(VLOOKUP(ROW(),KSHT,'Merge-PATC'!B$2,0),"yyyy")</f>
        <v>#N/A</v>
      </c>
      <c r="C7" t="e">
        <f>VLOOKUP(ROW(),KSHT,'Merge-PATC'!C$2,0)</f>
        <v>#N/A</v>
      </c>
      <c r="D7" t="e">
        <f>VLOOKUP(ROW(),KSHT,'Merge-PATC'!D$2,0)</f>
        <v>#N/A</v>
      </c>
      <c r="E7" t="e">
        <f>VLOOKUP(ROW(),KSHT,'Merge-PATC'!E$2,0)</f>
        <v>#N/A</v>
      </c>
    </row>
    <row r="8" spans="1:5">
      <c r="A8">
        <f>ROW()</f>
        <v>8</v>
      </c>
      <c r="B8" t="e">
        <f>" ngày "&amp;TEXT(VLOOKUP(ROW(),KSHT,'Merge-PATC'!B$2,0),"dd")&amp;" tháng "&amp;TEXT(VLOOKUP(ROW(),KSHT,'Merge-PATC'!B$2,0),"MM")&amp;" năm "&amp;TEXT(VLOOKUP(ROW(),KSHT,'Merge-PATC'!B$2,0),"yyyy")</f>
        <v>#N/A</v>
      </c>
      <c r="C8" t="e">
        <f>VLOOKUP(ROW(),KSHT,'Merge-PATC'!C$2,0)</f>
        <v>#N/A</v>
      </c>
      <c r="D8" t="e">
        <f>VLOOKUP(ROW(),KSHT,'Merge-PATC'!D$2,0)</f>
        <v>#N/A</v>
      </c>
      <c r="E8" t="e">
        <f>VLOOKUP(ROW(),KSHT,'Merge-PATC'!E$2,0)</f>
        <v>#N/A</v>
      </c>
    </row>
    <row r="9" spans="1:5">
      <c r="A9">
        <f>ROW()</f>
        <v>9</v>
      </c>
      <c r="B9" t="e">
        <f>" ngày "&amp;TEXT(VLOOKUP(ROW(),KSHT,'Merge-PATC'!B$2,0),"dd")&amp;" tháng "&amp;TEXT(VLOOKUP(ROW(),KSHT,'Merge-PATC'!B$2,0),"MM")&amp;" năm "&amp;TEXT(VLOOKUP(ROW(),KSHT,'Merge-PATC'!B$2,0),"yyyy")</f>
        <v>#N/A</v>
      </c>
      <c r="C9" t="e">
        <f>VLOOKUP(ROW(),KSHT,'Merge-PATC'!C$2,0)</f>
        <v>#N/A</v>
      </c>
      <c r="D9" t="e">
        <f>VLOOKUP(ROW(),KSHT,'Merge-PATC'!D$2,0)</f>
        <v>#N/A</v>
      </c>
      <c r="E9" t="e">
        <f>VLOOKUP(ROW(),KSHT,'Merge-PATC'!E$2,0)</f>
        <v>#N/A</v>
      </c>
    </row>
    <row r="10" spans="1:5">
      <c r="A10">
        <f>ROW()</f>
        <v>10</v>
      </c>
      <c r="B10" t="e">
        <f>" ngày "&amp;TEXT(VLOOKUP(ROW(),KSHT,'Merge-PATC'!B$2,0),"dd")&amp;" tháng "&amp;TEXT(VLOOKUP(ROW(),KSHT,'Merge-PATC'!B$2,0),"MM")&amp;" năm "&amp;TEXT(VLOOKUP(ROW(),KSHT,'Merge-PATC'!B$2,0),"yyyy")</f>
        <v>#N/A</v>
      </c>
      <c r="C10" t="e">
        <f>VLOOKUP(ROW(),KSHT,'Merge-PATC'!C$2,0)</f>
        <v>#N/A</v>
      </c>
      <c r="D10" t="e">
        <f>VLOOKUP(ROW(),KSHT,'Merge-PATC'!D$2,0)</f>
        <v>#N/A</v>
      </c>
      <c r="E10" t="e">
        <f>VLOOKUP(ROW(),KSHT,'Merge-PATC'!E$2,0)</f>
        <v>#N/A</v>
      </c>
    </row>
    <row r="11" spans="1:5">
      <c r="A11">
        <f>ROW()</f>
        <v>11</v>
      </c>
      <c r="B11" t="e">
        <f>" ngày "&amp;TEXT(VLOOKUP(ROW(),KSHT,'Merge-PATC'!B$2,0),"dd")&amp;" tháng "&amp;TEXT(VLOOKUP(ROW(),KSHT,'Merge-PATC'!B$2,0),"MM")&amp;" năm "&amp;TEXT(VLOOKUP(ROW(),KSHT,'Merge-PATC'!B$2,0),"yyyy")</f>
        <v>#N/A</v>
      </c>
      <c r="C11" t="e">
        <f>VLOOKUP(ROW(),KSHT,'Merge-PATC'!C$2,0)</f>
        <v>#N/A</v>
      </c>
      <c r="D11" t="e">
        <f>VLOOKUP(ROW(),KSHT,'Merge-PATC'!D$2,0)</f>
        <v>#N/A</v>
      </c>
      <c r="E11" t="e">
        <f>VLOOKUP(ROW(),KSHT,'Merge-PATC'!E$2,0)</f>
        <v>#N/A</v>
      </c>
    </row>
    <row r="12" spans="1:5">
      <c r="A12">
        <f>ROW()</f>
        <v>12</v>
      </c>
      <c r="B12" t="e">
        <f>" ngày "&amp;TEXT(VLOOKUP(ROW(),KSHT,'Merge-PATC'!B$2,0),"dd")&amp;" tháng "&amp;TEXT(VLOOKUP(ROW(),KSHT,'Merge-PATC'!B$2,0),"MM")&amp;" năm "&amp;TEXT(VLOOKUP(ROW(),KSHT,'Merge-PATC'!B$2,0),"yyyy")</f>
        <v>#N/A</v>
      </c>
      <c r="C12" t="e">
        <f>VLOOKUP(ROW(),KSHT,'Merge-PATC'!C$2,0)</f>
        <v>#N/A</v>
      </c>
      <c r="D12" t="e">
        <f>VLOOKUP(ROW(),KSHT,'Merge-PATC'!D$2,0)</f>
        <v>#N/A</v>
      </c>
      <c r="E12" t="e">
        <f>VLOOKUP(ROW(),KSHT,'Merge-PATC'!E$2,0)</f>
        <v>#N/A</v>
      </c>
    </row>
    <row r="13" spans="1:5">
      <c r="A13">
        <f>ROW()</f>
        <v>13</v>
      </c>
      <c r="B13" t="e">
        <f>" ngày "&amp;TEXT(VLOOKUP(ROW(),KSHT,'Merge-PATC'!B$2,0),"dd")&amp;" tháng "&amp;TEXT(VLOOKUP(ROW(),KSHT,'Merge-PATC'!B$2,0),"MM")&amp;" năm "&amp;TEXT(VLOOKUP(ROW(),KSHT,'Merge-PATC'!B$2,0),"yyyy")</f>
        <v>#N/A</v>
      </c>
      <c r="C13" t="e">
        <f>VLOOKUP(ROW(),KSHT,'Merge-PATC'!C$2,0)</f>
        <v>#N/A</v>
      </c>
      <c r="D13" t="e">
        <f>VLOOKUP(ROW(),KSHT,'Merge-PATC'!D$2,0)</f>
        <v>#N/A</v>
      </c>
      <c r="E13" t="e">
        <f>VLOOKUP(ROW(),KSHT,'Merge-PATC'!E$2,0)</f>
        <v>#N/A</v>
      </c>
    </row>
    <row r="14" spans="1:5">
      <c r="A14">
        <f>ROW()</f>
        <v>14</v>
      </c>
      <c r="B14" t="e">
        <f>" ngày "&amp;TEXT(VLOOKUP(ROW(),KSHT,'Merge-PATC'!B$2,0),"dd")&amp;" tháng "&amp;TEXT(VLOOKUP(ROW(),KSHT,'Merge-PATC'!B$2,0),"MM")&amp;" năm "&amp;TEXT(VLOOKUP(ROW(),KSHT,'Merge-PATC'!B$2,0),"yyyy")</f>
        <v>#N/A</v>
      </c>
      <c r="C14" t="e">
        <f>VLOOKUP(ROW(),KSHT,'Merge-PATC'!C$2,0)</f>
        <v>#N/A</v>
      </c>
      <c r="D14" t="e">
        <f>VLOOKUP(ROW(),KSHT,'Merge-PATC'!D$2,0)</f>
        <v>#N/A</v>
      </c>
      <c r="E14" t="e">
        <f>VLOOKUP(ROW(),KSHT,'Merge-PATC'!E$2,0)</f>
        <v>#N/A</v>
      </c>
    </row>
    <row r="15" spans="1:5">
      <c r="A15">
        <f>ROW()</f>
        <v>15</v>
      </c>
      <c r="B15" t="e">
        <f>" ngày "&amp;TEXT(VLOOKUP(ROW(),KSHT,'Merge-PATC'!B$2,0),"dd")&amp;" tháng "&amp;TEXT(VLOOKUP(ROW(),KSHT,'Merge-PATC'!B$2,0),"MM")&amp;" năm "&amp;TEXT(VLOOKUP(ROW(),KSHT,'Merge-PATC'!B$2,0),"yyyy")</f>
        <v>#N/A</v>
      </c>
      <c r="C15" t="e">
        <f>VLOOKUP(ROW(),KSHT,'Merge-PATC'!C$2,0)</f>
        <v>#N/A</v>
      </c>
      <c r="D15" t="e">
        <f>VLOOKUP(ROW(),KSHT,'Merge-PATC'!D$2,0)</f>
        <v>#N/A</v>
      </c>
      <c r="E15" t="e">
        <f>VLOOKUP(ROW(),KSHT,'Merge-PATC'!E$2,0)</f>
        <v>#N/A</v>
      </c>
    </row>
    <row r="16" spans="1:5">
      <c r="A16">
        <f>ROW()</f>
        <v>16</v>
      </c>
      <c r="B16" t="e">
        <f>" ngày "&amp;TEXT(VLOOKUP(ROW(),KSHT,'Merge-PATC'!B$2,0),"dd")&amp;" tháng "&amp;TEXT(VLOOKUP(ROW(),KSHT,'Merge-PATC'!B$2,0),"MM")&amp;" năm "&amp;TEXT(VLOOKUP(ROW(),KSHT,'Merge-PATC'!B$2,0),"yyyy")</f>
        <v>#N/A</v>
      </c>
      <c r="C16" t="e">
        <f>VLOOKUP(ROW(),KSHT,'Merge-PATC'!C$2,0)</f>
        <v>#N/A</v>
      </c>
      <c r="D16" t="e">
        <f>VLOOKUP(ROW(),KSHT,'Merge-PATC'!D$2,0)</f>
        <v>#N/A</v>
      </c>
      <c r="E16" t="e">
        <f>VLOOKUP(ROW(),KSHT,'Merge-PATC'!E$2,0)</f>
        <v>#N/A</v>
      </c>
    </row>
    <row r="17" spans="1:5">
      <c r="A17">
        <f>ROW()</f>
        <v>17</v>
      </c>
      <c r="B17" t="e">
        <f>" ngày "&amp;TEXT(VLOOKUP(ROW(),KSHT,'Merge-PATC'!B$2,0),"dd")&amp;" tháng "&amp;TEXT(VLOOKUP(ROW(),KSHT,'Merge-PATC'!B$2,0),"MM")&amp;" năm "&amp;TEXT(VLOOKUP(ROW(),KSHT,'Merge-PATC'!B$2,0),"yyyy")</f>
        <v>#N/A</v>
      </c>
      <c r="C17" t="e">
        <f>VLOOKUP(ROW(),KSHT,'Merge-PATC'!C$2,0)</f>
        <v>#N/A</v>
      </c>
      <c r="D17" t="e">
        <f>VLOOKUP(ROW(),KSHT,'Merge-PATC'!D$2,0)</f>
        <v>#N/A</v>
      </c>
      <c r="E17" t="e">
        <f>VLOOKUP(ROW(),KSHT,'Merge-PATC'!E$2,0)</f>
        <v>#N/A</v>
      </c>
    </row>
    <row r="18" spans="1:5">
      <c r="A18">
        <f>ROW()</f>
        <v>18</v>
      </c>
      <c r="B18" t="e">
        <f>" ngày "&amp;TEXT(VLOOKUP(ROW(),KSHT,'Merge-PATC'!B$2,0),"dd")&amp;" tháng "&amp;TEXT(VLOOKUP(ROW(),KSHT,'Merge-PATC'!B$2,0),"MM")&amp;" năm "&amp;TEXT(VLOOKUP(ROW(),KSHT,'Merge-PATC'!B$2,0),"yyyy")</f>
        <v>#N/A</v>
      </c>
      <c r="C18" t="e">
        <f>VLOOKUP(ROW(),KSHT,'Merge-PATC'!C$2,0)</f>
        <v>#N/A</v>
      </c>
      <c r="D18" t="e">
        <f>VLOOKUP(ROW(),KSHT,'Merge-PATC'!D$2,0)</f>
        <v>#N/A</v>
      </c>
      <c r="E18" t="e">
        <f>VLOOKUP(ROW(),KSHT,'Merge-PATC'!E$2,0)</f>
        <v>#N/A</v>
      </c>
    </row>
    <row r="19" spans="1:5">
      <c r="A19">
        <f>ROW()</f>
        <v>19</v>
      </c>
      <c r="B19" t="e">
        <f>" ngày "&amp;TEXT(VLOOKUP(ROW(),KSHT,'Merge-PATC'!B$2,0),"dd")&amp;" tháng "&amp;TEXT(VLOOKUP(ROW(),KSHT,'Merge-PATC'!B$2,0),"MM")&amp;" năm "&amp;TEXT(VLOOKUP(ROW(),KSHT,'Merge-PATC'!B$2,0),"yyyy")</f>
        <v>#REF!</v>
      </c>
      <c r="C19" t="str">
        <f>VLOOKUP(ROW(),KSHT,'Merge-PATC'!C$2,0)</f>
        <v>Thay dây hạ thế  sau TBA Nam Hà 1A</v>
      </c>
      <c r="D19" t="str">
        <f>VLOOKUP(ROW(),KSHT,'Merge-PATC'!D$2,0)</f>
        <v>Lưới điện hạ thế thuộc trạm Nam Hà 1A</v>
      </c>
      <c r="E19" t="str">
        <f>VLOOKUP(ROW(),KSHT,'Merge-PATC'!E$2,0)</f>
        <v>Cắt FCO + MCCB TBA Nam Hà 1A
Tiếp địa hạ thế tại MCCB TBA Nam Hà 1A</v>
      </c>
    </row>
    <row r="20" spans="1:5">
      <c r="A20">
        <f>ROW()</f>
        <v>20</v>
      </c>
      <c r="B20" t="e">
        <f>" ngày "&amp;TEXT(VLOOKUP(ROW(),KSHT,'Merge-PATC'!B$2,0),"dd")&amp;" tháng "&amp;TEXT(VLOOKUP(ROW(),KSHT,'Merge-PATC'!B$2,0),"MM")&amp;" năm "&amp;TEXT(VLOOKUP(ROW(),KSHT,'Merge-PATC'!B$2,0),"yyyy")</f>
        <v>#REF!</v>
      </c>
      <c r="C20" t="str">
        <f>VLOOKUP(ROW(),KSHT,'Merge-PATC'!C$2,0)</f>
        <v>Thay dây hạ thế  sau TBA Nam Hà 1</v>
      </c>
      <c r="D20" t="str">
        <f>VLOOKUP(ROW(),KSHT,'Merge-PATC'!D$2,0)</f>
        <v> Lưới hạ thế thuộc trạm Nam Hà 1</v>
      </c>
      <c r="E20" t="str">
        <f>VLOOKUP(ROW(),KSHT,'Merge-PATC'!E$2,0)</f>
        <v xml:space="preserve">Cắt FCO + MCCB TBA Nam Hà 1
Tiếp địa hạ thế tại MCCB TBA Nam Hà 1
 </v>
      </c>
    </row>
    <row r="21" spans="1:5">
      <c r="A21">
        <f>ROW()</f>
        <v>21</v>
      </c>
      <c r="B21" t="e">
        <f>" ngày "&amp;TEXT(VLOOKUP(ROW(),KSHT,'Merge-PATC'!B$2,0),"dd")&amp;" tháng "&amp;TEXT(VLOOKUP(ROW(),KSHT,'Merge-PATC'!B$2,0),"MM")&amp;" năm "&amp;TEXT(VLOOKUP(ROW(),KSHT,'Merge-PATC'!B$2,0),"yyyy")</f>
        <v>#REF!</v>
      </c>
      <c r="C21" t="str">
        <f>VLOOKUP(ROW(),KSHT,'Merge-PATC'!C$2,0)</f>
        <v>Thay dây hạ thế  sau TBA Nam Hà 3</v>
      </c>
      <c r="D21" t="str">
        <f>VLOOKUP(ROW(),KSHT,'Merge-PATC'!D$2,0)</f>
        <v>Lưới điện hạ thế thuộc trạm Nam Hà 3</v>
      </c>
      <c r="E21" t="str">
        <f>VLOOKUP(ROW(),KSHT,'Merge-PATC'!E$2,0)</f>
        <v>Cắt FCO + MCCB TBA Nam Hà 3
Tiếp địa hạ thế tại MCCB TBA Nam Hà 3</v>
      </c>
    </row>
    <row r="22" spans="1:5">
      <c r="A22">
        <f>ROW()</f>
        <v>22</v>
      </c>
      <c r="B22" t="e">
        <f>" ngày "&amp;TEXT(VLOOKUP(ROW(),KSHT,'Merge-PATC'!B$2,0),"dd")&amp;" tháng "&amp;TEXT(VLOOKUP(ROW(),KSHT,'Merge-PATC'!B$2,0),"MM")&amp;" năm "&amp;TEXT(VLOOKUP(ROW(),KSHT,'Merge-PATC'!B$2,0),"yyyy")</f>
        <v>#REF!</v>
      </c>
      <c r="C22" t="str">
        <f>VLOOKUP(ROW(),KSHT,'Merge-PATC'!C$2,0)</f>
        <v>Thay dây hạ thế  sau TBA Xuân Tây 10A</v>
      </c>
      <c r="D22" t="str">
        <f>VLOOKUP(ROW(),KSHT,'Merge-PATC'!D$2,0)</f>
        <v>Đường dây hạ thế thuộc trạm biến áp Xuân Tây 10A</v>
      </c>
      <c r="E22" t="str">
        <f>VLOOKUP(ROW(),KSHT,'Merge-PATC'!E$2,0)</f>
        <v>Cắt FCO + MCCB TBA Xuân Tây 10A
Tiếp địa hạ thế tại MCCB TBA Xuân Tây 10A</v>
      </c>
    </row>
    <row r="23" spans="1:5">
      <c r="A23">
        <f>ROW()</f>
        <v>23</v>
      </c>
      <c r="B23" t="e">
        <f>" ngày "&amp;TEXT(VLOOKUP(ROW(),KSHT,'Merge-PATC'!B$2,0),"dd")&amp;" tháng "&amp;TEXT(VLOOKUP(ROW(),KSHT,'Merge-PATC'!B$2,0),"MM")&amp;" năm "&amp;TEXT(VLOOKUP(ROW(),KSHT,'Merge-PATC'!B$2,0),"yyyy")</f>
        <v>#REF!</v>
      </c>
      <c r="C23" t="str">
        <f>VLOOKUP(ROW(),KSHT,'Merge-PATC'!C$2,0)</f>
        <v>Thay dây hạ thế  sau TBA Sông Ray 8A</v>
      </c>
      <c r="D23" t="str">
        <f>VLOOKUP(ROW(),KSHT,'Merge-PATC'!D$2,0)</f>
        <v>Đường dây hạ thế thuộc Trạm Sông Ray 8A</v>
      </c>
      <c r="E23" t="str">
        <f>VLOOKUP(ROW(),KSHT,'Merge-PATC'!E$2,0)</f>
        <v>Cắt FCO + MCCB TBA Sông Ray 8A
Tiếp địa hạ thế tại MCCB TBA Sông Ray 8A</v>
      </c>
    </row>
    <row r="24" spans="1:5">
      <c r="A24">
        <f>ROW()</f>
        <v>24</v>
      </c>
      <c r="B24" t="e">
        <f>" ngày "&amp;TEXT(VLOOKUP(ROW(),KSHT,'Merge-PATC'!B$2,0),"dd")&amp;" tháng "&amp;TEXT(VLOOKUP(ROW(),KSHT,'Merge-PATC'!B$2,0),"MM")&amp;" năm "&amp;TEXT(VLOOKUP(ROW(),KSHT,'Merge-PATC'!B$2,0),"yyyy")</f>
        <v>#REF!</v>
      </c>
      <c r="C24" t="str">
        <f>VLOOKUP(ROW(),KSHT,'Merge-PATC'!C$2,0)</f>
        <v>Nâng cấp đường dây hạ thế và TBA Sông Ray 7 từ 1 pha lên 3 pha, cấy TBA Sông Ray 7A</v>
      </c>
      <c r="D24" t="str">
        <f>VLOOKUP(ROW(),KSHT,'Merge-PATC'!D$2,0)</f>
        <v>Tại trạm biến áp Sông Ray 7</v>
      </c>
      <c r="E24" t="str">
        <f>VLOOKUP(ROW(),KSHT,'Merge-PATC'!E$2,0)</f>
        <v>Cắt LBS khí Đồng Tâm 1 + 3 LTD Đồng Tâm 1
Cắt LBS khí Sông Ray + 3 LTD Sông Ray 1
Tiếp địa trụ trung thế 357 
Tiếp địa trụ trung thế 381 
Tiếp địa hạ thế TBA Sông Ray 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Data</vt:lpstr>
      <vt:lpstr>Merge</vt:lpstr>
      <vt:lpstr>DS_CongNhan</vt:lpstr>
      <vt:lpstr>NhanSu</vt:lpstr>
      <vt:lpstr>KhaoSatHienTruong</vt:lpstr>
      <vt:lpstr>Merge-PATC</vt:lpstr>
      <vt:lpstr>data</vt:lpstr>
      <vt:lpstr>KSHT</vt:lpstr>
      <vt:lpstr>NhanSu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VuongLam</dc:creator>
  <cp:lastModifiedBy>Thuc Tran</cp:lastModifiedBy>
  <cp:lastPrinted>2020-01-21T06:52:32Z</cp:lastPrinted>
  <dcterms:created xsi:type="dcterms:W3CDTF">2019-03-20T06:40:01Z</dcterms:created>
  <dcterms:modified xsi:type="dcterms:W3CDTF">2021-03-04T06:40:49Z</dcterms:modified>
</cp:coreProperties>
</file>